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Theo doi chi tiêu nhà ở\"/>
    </mc:Choice>
  </mc:AlternateContent>
  <xr:revisionPtr revIDLastSave="0" documentId="13_ncr:1_{364861BA-A28E-4682-AF84-C6D24E8F075A}" xr6:coauthVersionLast="47" xr6:coauthVersionMax="47" xr10:uidLastSave="{00000000-0000-0000-0000-000000000000}"/>
  <bookViews>
    <workbookView xWindow="-108" yWindow="-108" windowWidth="23256" windowHeight="12456" xr2:uid="{A9184BB8-EB95-496D-B78B-9BFCFDDC0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53" i="1" l="1"/>
  <c r="AL53" i="1"/>
  <c r="AJ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G52" i="1"/>
  <c r="AI52" i="1" s="1"/>
  <c r="AN52" i="1" s="1"/>
  <c r="AG51" i="1"/>
  <c r="AI51" i="1" s="1"/>
  <c r="AN51" i="1" s="1"/>
  <c r="AG50" i="1"/>
  <c r="AI50" i="1" s="1"/>
  <c r="AN50" i="1" s="1"/>
  <c r="AG49" i="1"/>
  <c r="AI49" i="1" s="1"/>
  <c r="AN49" i="1" s="1"/>
  <c r="AG48" i="1"/>
  <c r="AI48" i="1" s="1"/>
  <c r="AN48" i="1" s="1"/>
  <c r="AG47" i="1"/>
  <c r="AI47" i="1" s="1"/>
  <c r="AN47" i="1" s="1"/>
  <c r="AG46" i="1"/>
  <c r="AI46" i="1" s="1"/>
  <c r="AN46" i="1" s="1"/>
  <c r="AG45" i="1"/>
  <c r="AI45" i="1" s="1"/>
  <c r="AN45" i="1" s="1"/>
  <c r="AG44" i="1"/>
  <c r="AI44" i="1" s="1"/>
  <c r="AN44" i="1" s="1"/>
  <c r="AG43" i="1"/>
  <c r="AI43" i="1" s="1"/>
  <c r="AN43" i="1" s="1"/>
  <c r="AG42" i="1"/>
  <c r="AI42" i="1" s="1"/>
  <c r="AN42" i="1" s="1"/>
  <c r="AG41" i="1"/>
  <c r="AI41" i="1" s="1"/>
  <c r="AN41" i="1" s="1"/>
  <c r="AG40" i="1"/>
  <c r="AI40" i="1" s="1"/>
  <c r="AN40" i="1" s="1"/>
  <c r="AG39" i="1"/>
  <c r="AI39" i="1" s="1"/>
  <c r="AN39" i="1" s="1"/>
  <c r="AG38" i="1"/>
  <c r="AI38" i="1" s="1"/>
  <c r="AN38" i="1" s="1"/>
  <c r="AG37" i="1"/>
  <c r="AI37" i="1" s="1"/>
  <c r="AN37" i="1" s="1"/>
  <c r="AG36" i="1"/>
  <c r="AI36" i="1" s="1"/>
  <c r="AN36" i="1" s="1"/>
  <c r="AG35" i="1"/>
  <c r="AI35" i="1" s="1"/>
  <c r="AN35" i="1" s="1"/>
  <c r="AG34" i="1"/>
  <c r="AI34" i="1" s="1"/>
  <c r="AN34" i="1" s="1"/>
  <c r="AG33" i="1"/>
  <c r="AI33" i="1" s="1"/>
  <c r="AN33" i="1" s="1"/>
  <c r="AG32" i="1"/>
  <c r="AI32" i="1" s="1"/>
  <c r="AN32" i="1" s="1"/>
  <c r="AG31" i="1"/>
  <c r="AI31" i="1" s="1"/>
  <c r="AN31" i="1" s="1"/>
  <c r="AG30" i="1"/>
  <c r="AI30" i="1" s="1"/>
  <c r="AN30" i="1" s="1"/>
  <c r="AG29" i="1"/>
  <c r="AI29" i="1" s="1"/>
  <c r="AN29" i="1" s="1"/>
  <c r="AG28" i="1"/>
  <c r="AI28" i="1" s="1"/>
  <c r="AN28" i="1" s="1"/>
  <c r="AG27" i="1"/>
  <c r="AI27" i="1" s="1"/>
  <c r="AN27" i="1" s="1"/>
  <c r="AG26" i="1"/>
  <c r="AI26" i="1" s="1"/>
  <c r="AN26" i="1" s="1"/>
  <c r="AG25" i="1"/>
  <c r="AI25" i="1" s="1"/>
  <c r="AN25" i="1" s="1"/>
  <c r="AG24" i="1"/>
  <c r="AI24" i="1" s="1"/>
  <c r="AN24" i="1" s="1"/>
  <c r="AG23" i="1"/>
  <c r="AI23" i="1" s="1"/>
  <c r="AN23" i="1" s="1"/>
  <c r="AG22" i="1"/>
  <c r="AI22" i="1" s="1"/>
  <c r="AN22" i="1" s="1"/>
  <c r="AG21" i="1"/>
  <c r="AI21" i="1" s="1"/>
  <c r="AN21" i="1" s="1"/>
  <c r="AG20" i="1"/>
  <c r="AI20" i="1" s="1"/>
  <c r="AN20" i="1" s="1"/>
  <c r="AG19" i="1"/>
  <c r="AI19" i="1" s="1"/>
  <c r="AN19" i="1" s="1"/>
  <c r="AG18" i="1"/>
  <c r="AI18" i="1" s="1"/>
  <c r="AN18" i="1" s="1"/>
  <c r="AG17" i="1"/>
  <c r="AI17" i="1" s="1"/>
  <c r="AN17" i="1" s="1"/>
  <c r="AG16" i="1"/>
  <c r="AI16" i="1" s="1"/>
  <c r="AN16" i="1" s="1"/>
  <c r="AG15" i="1"/>
  <c r="AI15" i="1" s="1"/>
  <c r="AN15" i="1" s="1"/>
  <c r="AG14" i="1"/>
  <c r="AI14" i="1" s="1"/>
  <c r="AN14" i="1" s="1"/>
  <c r="AG13" i="1"/>
  <c r="AI13" i="1" s="1"/>
  <c r="AN13" i="1" s="1"/>
  <c r="AG12" i="1"/>
  <c r="AI12" i="1" s="1"/>
  <c r="AN12" i="1" s="1"/>
  <c r="AG11" i="1"/>
  <c r="AI11" i="1" s="1"/>
  <c r="AN11" i="1" s="1"/>
  <c r="AG10" i="1"/>
  <c r="AI10" i="1" s="1"/>
  <c r="AN10" i="1" s="1"/>
  <c r="AG9" i="1"/>
  <c r="AI9" i="1" s="1"/>
  <c r="AN9" i="1" s="1"/>
  <c r="AG8" i="1"/>
  <c r="AI8" i="1" s="1"/>
  <c r="AN8" i="1" s="1"/>
  <c r="AG7" i="1"/>
  <c r="AI7" i="1" s="1"/>
  <c r="AN7" i="1" s="1"/>
  <c r="AG6" i="1"/>
  <c r="AI6" i="1" s="1"/>
  <c r="AN6" i="1" s="1"/>
  <c r="AG5" i="1"/>
  <c r="AG4" i="1"/>
  <c r="AI4" i="1" s="1"/>
  <c r="AN4" i="1" s="1"/>
  <c r="AG53" i="1" l="1"/>
  <c r="AH53" i="1" s="1"/>
  <c r="AI5" i="1"/>
  <c r="AN5" i="1" s="1"/>
  <c r="AN53" i="1" s="1"/>
  <c r="AI53" i="1" l="1"/>
</calcChain>
</file>

<file path=xl/sharedStrings.xml><?xml version="1.0" encoding="utf-8"?>
<sst xmlns="http://schemas.openxmlformats.org/spreadsheetml/2006/main" count="62" uniqueCount="61">
  <si>
    <t>TỔNG HỢP XUẤT ĂN NHÀ Ở HẠ LONG XANH</t>
  </si>
  <si>
    <t>TT</t>
  </si>
  <si>
    <t>Họ và tên</t>
  </si>
  <si>
    <t>Tháng 7</t>
  </si>
  <si>
    <t>Tổng</t>
  </si>
  <si>
    <t>Đơn giá</t>
  </si>
  <si>
    <t xml:space="preserve">Thành tiền </t>
  </si>
  <si>
    <t>Lũy kế tháng trước</t>
  </si>
  <si>
    <t>Đóng quỹ đồ dùng</t>
  </si>
  <si>
    <t>Đã ứng trước</t>
  </si>
  <si>
    <t>Thanh toán</t>
  </si>
  <si>
    <t>Lê Huy Phương</t>
  </si>
  <si>
    <t>Phạm Văn Dương</t>
  </si>
  <si>
    <t>Phạm Ngọc Điểm</t>
  </si>
  <si>
    <t>Trần Đình Quân</t>
  </si>
  <si>
    <t>Kiều ĐÌnh An</t>
  </si>
  <si>
    <t>Nguyễn Đức Mạnh</t>
  </si>
  <si>
    <t>Nguyễn Minh Đức</t>
  </si>
  <si>
    <t>Đào Quang Biển</t>
  </si>
  <si>
    <t>Nguyễn Ngọc Hanh</t>
  </si>
  <si>
    <t>Lê Hữu Vui</t>
  </si>
  <si>
    <t>Mr Hiệp(Phượng)</t>
  </si>
  <si>
    <t>Phạm Quang Ngọc</t>
  </si>
  <si>
    <t>Trần Xuân Bách</t>
  </si>
  <si>
    <t>Đoàn Văn Đại</t>
  </si>
  <si>
    <t>Nguyễn Trung Kiên</t>
  </si>
  <si>
    <t>Đoàn Quyết Thắng</t>
  </si>
  <si>
    <t>Lê Đôn Thao</t>
  </si>
  <si>
    <t>Lê Văn Bắc</t>
  </si>
  <si>
    <t>Nguyễn Hữu Tỉnh</t>
  </si>
  <si>
    <t>Nguyễn Ngọc Dũng</t>
  </si>
  <si>
    <t>Trương Quốc Hoan</t>
  </si>
  <si>
    <t>Hoàng Bích NGọc</t>
  </si>
  <si>
    <t>Phạm Thu Hiền</t>
  </si>
  <si>
    <t>Phan Văn Thân</t>
  </si>
  <si>
    <t>Phạm Mạnh Đức</t>
  </si>
  <si>
    <t>Trần Văn Điệp</t>
  </si>
  <si>
    <t>Nguyễn Tuấn Nghĩa</t>
  </si>
  <si>
    <t>Chu Hoàng Sơn</t>
  </si>
  <si>
    <t>Nguyễn Đức Huy</t>
  </si>
  <si>
    <t>Phan Th Thu Trang,</t>
  </si>
  <si>
    <t>Đậu Quyết Thắng</t>
  </si>
  <si>
    <t>Nguyễn Thị Phượng</t>
  </si>
  <si>
    <t>Phạm Thị Hải</t>
  </si>
  <si>
    <t>Lê Văn Kiền</t>
  </si>
  <si>
    <t>Lê Tuấn Anh</t>
  </si>
  <si>
    <t>Bùi TH Thanh Huyền</t>
  </si>
  <si>
    <t>Nguyễn Th Thu Hương</t>
  </si>
  <si>
    <t>Mã Thị Thùy</t>
  </si>
  <si>
    <t>Trịnh Thị Hường</t>
  </si>
  <si>
    <t>Lê Khắc Sơn</t>
  </si>
  <si>
    <t>Tống Văn Mậu</t>
  </si>
  <si>
    <t>Phùng Văn Đức</t>
  </si>
  <si>
    <t>Hồ Trọng Hoàng</t>
  </si>
  <si>
    <t>Phạm Văn Thắng</t>
  </si>
  <si>
    <t>Lê Thu Trang</t>
  </si>
  <si>
    <t>Hồ Hữu Tiến</t>
  </si>
  <si>
    <t>Dương Th Thanh Hoa</t>
  </si>
  <si>
    <t>Đỗ Quang Vũ</t>
  </si>
  <si>
    <t>Bùi Lệ Thủy</t>
  </si>
  <si>
    <t>Truy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</si>
</sst>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5" formatCode="_(* #,##0_);_(* \(#,##0\);_(* &quot;-&quot;??_);_(@_)"/>
  </numFmts>
  <fonts count="9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4" xfId="0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/>
    <xf numFmtId="165" fontId="4" fillId="0" borderId="2" xfId="1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41" fontId="4" fillId="0" borderId="2" xfId="2" applyFont="1" applyBorder="1" applyAlignment="1">
      <alignment horizontal="center"/>
    </xf>
    <xf numFmtId="41" fontId="6" fillId="0" borderId="2" xfId="2" applyFont="1" applyBorder="1" applyAlignment="1">
      <alignment horizontal="center"/>
    </xf>
    <xf numFmtId="41" fontId="7" fillId="0" borderId="2" xfId="2" applyFont="1" applyBorder="1" applyAlignment="1">
      <alignment horizontal="center"/>
    </xf>
    <xf numFmtId="0" fontId="0" fillId="0" borderId="2" xfId="0" applyBorder="1"/>
    <xf numFmtId="41" fontId="4" fillId="0" borderId="2" xfId="2" applyFont="1" applyBorder="1" applyAlignment="1"/>
    <xf numFmtId="0" fontId="5" fillId="0" borderId="5" xfId="0" applyFont="1" applyBorder="1"/>
    <xf numFmtId="41" fontId="5" fillId="0" borderId="2" xfId="2" applyFont="1" applyBorder="1" applyAlignment="1">
      <alignment horizontal="center"/>
    </xf>
    <xf numFmtId="41" fontId="4" fillId="0" borderId="2" xfId="2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/>
    </xf>
    <xf numFmtId="41" fontId="8" fillId="0" borderId="2" xfId="2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5" fontId="3" fillId="0" borderId="2" xfId="1" applyNumberFormat="1" applyFont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7EF6-3BB1-49B6-BA73-E0C3D53FDB58}">
  <dimension ref="A1:AN53"/>
  <sheetViews>
    <sheetView tabSelected="1" zoomScale="53" zoomScaleNormal="53" workbookViewId="0">
      <selection activeCell="AM11" sqref="AM11"/>
    </sheetView>
  </sheetViews>
  <sheetFormatPr defaultRowHeight="14.4" x14ac:dyDescent="0.3"/>
  <cols>
    <col min="2" max="2" width="19.5546875" customWidth="1"/>
    <col min="35" max="35" width="12.33203125" customWidth="1"/>
    <col min="36" max="37" width="12.21875" customWidth="1"/>
    <col min="38" max="38" width="12.109375" customWidth="1"/>
    <col min="39" max="39" width="16" customWidth="1"/>
    <col min="40" max="40" width="11.88671875" customWidth="1"/>
  </cols>
  <sheetData>
    <row r="1" spans="1:40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3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 t="s">
        <v>4</v>
      </c>
      <c r="AH2" s="3" t="s">
        <v>5</v>
      </c>
      <c r="AI2" s="3" t="s">
        <v>6</v>
      </c>
      <c r="AJ2" s="3" t="s">
        <v>7</v>
      </c>
      <c r="AK2" s="4" t="s">
        <v>60</v>
      </c>
      <c r="AL2" s="4" t="s">
        <v>8</v>
      </c>
      <c r="AM2" s="3" t="s">
        <v>9</v>
      </c>
      <c r="AN2" s="5" t="s">
        <v>10</v>
      </c>
    </row>
    <row r="3" spans="1:40" x14ac:dyDescent="0.3">
      <c r="A3" s="2"/>
      <c r="B3" s="2"/>
      <c r="C3" s="6">
        <v>26</v>
      </c>
      <c r="D3" s="6">
        <v>27</v>
      </c>
      <c r="E3" s="6">
        <v>28</v>
      </c>
      <c r="F3" s="6">
        <v>29</v>
      </c>
      <c r="G3" s="6">
        <v>30</v>
      </c>
      <c r="H3" s="6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">
        <v>9</v>
      </c>
      <c r="Q3" s="6">
        <v>10</v>
      </c>
      <c r="R3" s="6">
        <v>11</v>
      </c>
      <c r="S3" s="6">
        <v>12</v>
      </c>
      <c r="T3" s="6">
        <v>13</v>
      </c>
      <c r="U3" s="6">
        <v>14</v>
      </c>
      <c r="V3" s="6">
        <v>15</v>
      </c>
      <c r="W3" s="6">
        <v>16</v>
      </c>
      <c r="X3" s="6">
        <v>17</v>
      </c>
      <c r="Y3" s="6">
        <v>18</v>
      </c>
      <c r="Z3" s="6">
        <v>19</v>
      </c>
      <c r="AA3" s="6">
        <v>20</v>
      </c>
      <c r="AB3" s="6">
        <v>21</v>
      </c>
      <c r="AC3" s="6">
        <v>22</v>
      </c>
      <c r="AD3" s="6">
        <v>23</v>
      </c>
      <c r="AE3" s="6">
        <v>24</v>
      </c>
      <c r="AF3" s="6">
        <v>25</v>
      </c>
      <c r="AG3" s="3"/>
      <c r="AH3" s="3"/>
      <c r="AI3" s="3"/>
      <c r="AJ3" s="3"/>
      <c r="AK3" s="7"/>
      <c r="AL3" s="7"/>
      <c r="AM3" s="3"/>
      <c r="AN3" s="8"/>
    </row>
    <row r="4" spans="1:40" x14ac:dyDescent="0.3">
      <c r="A4" s="9">
        <v>1</v>
      </c>
      <c r="B4" s="10" t="s">
        <v>11</v>
      </c>
      <c r="C4" s="11">
        <v>1</v>
      </c>
      <c r="D4" s="11">
        <v>1</v>
      </c>
      <c r="E4" s="11">
        <v>1</v>
      </c>
      <c r="F4" s="11">
        <v>1</v>
      </c>
      <c r="G4" s="11"/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1">
        <v>2</v>
      </c>
      <c r="X4" s="11">
        <v>2</v>
      </c>
      <c r="Y4" s="11">
        <v>2</v>
      </c>
      <c r="Z4" s="11">
        <v>2</v>
      </c>
      <c r="AA4" s="11">
        <v>2</v>
      </c>
      <c r="AB4" s="11">
        <v>2</v>
      </c>
      <c r="AC4" s="11">
        <v>2</v>
      </c>
      <c r="AD4" s="11">
        <v>2</v>
      </c>
      <c r="AE4" s="11">
        <v>2</v>
      </c>
      <c r="AF4" s="11">
        <v>2</v>
      </c>
      <c r="AG4" s="9">
        <f>SUM(C4:AF4)</f>
        <v>39</v>
      </c>
      <c r="AH4" s="12">
        <v>32000</v>
      </c>
      <c r="AI4" s="13">
        <f>AG4*AH4</f>
        <v>1248000</v>
      </c>
      <c r="AJ4" s="14">
        <v>414720</v>
      </c>
      <c r="AK4" s="14"/>
      <c r="AL4" s="14"/>
      <c r="AM4" s="12"/>
      <c r="AN4" s="15">
        <f>AM4+AJ4-AI4-AL4</f>
        <v>-833280</v>
      </c>
    </row>
    <row r="5" spans="1:40" x14ac:dyDescent="0.3">
      <c r="A5" s="9">
        <v>2</v>
      </c>
      <c r="B5" s="10" t="s">
        <v>12</v>
      </c>
      <c r="C5" s="11">
        <v>1</v>
      </c>
      <c r="D5" s="11">
        <v>1</v>
      </c>
      <c r="E5" s="11">
        <v>1</v>
      </c>
      <c r="F5" s="11">
        <v>1</v>
      </c>
      <c r="G5" s="11"/>
      <c r="H5" s="11">
        <v>1</v>
      </c>
      <c r="I5" s="11">
        <v>1</v>
      </c>
      <c r="J5" s="11">
        <v>1</v>
      </c>
      <c r="K5" s="11">
        <v>1</v>
      </c>
      <c r="L5" s="11">
        <v>1</v>
      </c>
      <c r="M5" s="11">
        <v>1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2</v>
      </c>
      <c r="X5" s="11">
        <v>2</v>
      </c>
      <c r="Y5" s="11">
        <v>2</v>
      </c>
      <c r="Z5" s="11">
        <v>2</v>
      </c>
      <c r="AA5" s="11">
        <v>2</v>
      </c>
      <c r="AB5" s="11">
        <v>2</v>
      </c>
      <c r="AC5" s="11">
        <v>2</v>
      </c>
      <c r="AD5" s="11">
        <v>2</v>
      </c>
      <c r="AE5" s="11">
        <v>2</v>
      </c>
      <c r="AF5" s="11">
        <v>2</v>
      </c>
      <c r="AG5" s="9">
        <f>SUM(C5:AF5)</f>
        <v>39</v>
      </c>
      <c r="AH5" s="12">
        <v>32000</v>
      </c>
      <c r="AI5" s="13">
        <f t="shared" ref="AI5:AI52" si="0">AG5*AH5</f>
        <v>1248000</v>
      </c>
      <c r="AJ5" s="14">
        <v>1505000</v>
      </c>
      <c r="AK5" s="14"/>
      <c r="AL5" s="14"/>
      <c r="AM5" s="12"/>
      <c r="AN5" s="16">
        <f>AM5+AJ5-AI5-AL5</f>
        <v>257000</v>
      </c>
    </row>
    <row r="6" spans="1:40" x14ac:dyDescent="0.3">
      <c r="A6" s="9">
        <v>3</v>
      </c>
      <c r="B6" s="10" t="s">
        <v>13</v>
      </c>
      <c r="C6" s="11">
        <v>2</v>
      </c>
      <c r="D6" s="11">
        <v>2</v>
      </c>
      <c r="E6" s="11">
        <v>2</v>
      </c>
      <c r="F6" s="11">
        <v>2</v>
      </c>
      <c r="G6" s="17">
        <v>1</v>
      </c>
      <c r="H6" s="11">
        <v>2</v>
      </c>
      <c r="I6" s="11">
        <v>2</v>
      </c>
      <c r="J6" s="17">
        <v>1</v>
      </c>
      <c r="K6" s="11">
        <v>2</v>
      </c>
      <c r="L6" s="11">
        <v>2</v>
      </c>
      <c r="M6" s="17">
        <v>1</v>
      </c>
      <c r="N6" s="11">
        <v>2</v>
      </c>
      <c r="O6" s="11">
        <v>2</v>
      </c>
      <c r="P6" s="11">
        <v>2</v>
      </c>
      <c r="Q6" s="17">
        <v>1</v>
      </c>
      <c r="R6" s="11">
        <v>2</v>
      </c>
      <c r="S6" s="11">
        <v>2</v>
      </c>
      <c r="T6" s="11">
        <v>2</v>
      </c>
      <c r="U6" s="11">
        <v>2</v>
      </c>
      <c r="V6" s="11">
        <v>2</v>
      </c>
      <c r="W6" s="11">
        <v>2</v>
      </c>
      <c r="X6" s="11">
        <v>2</v>
      </c>
      <c r="Y6" s="11">
        <v>2</v>
      </c>
      <c r="Z6" s="11">
        <v>2</v>
      </c>
      <c r="AA6" s="11">
        <v>2</v>
      </c>
      <c r="AB6" s="11"/>
      <c r="AC6" s="11"/>
      <c r="AD6" s="11">
        <v>2</v>
      </c>
      <c r="AE6" s="11">
        <v>2</v>
      </c>
      <c r="AF6" s="11">
        <v>2</v>
      </c>
      <c r="AG6" s="9">
        <f t="shared" ref="AG6:AG52" si="1">SUM(C6:AF6)</f>
        <v>52</v>
      </c>
      <c r="AH6" s="12">
        <v>32000</v>
      </c>
      <c r="AI6" s="13">
        <f t="shared" si="0"/>
        <v>1664000</v>
      </c>
      <c r="AJ6" s="14">
        <v>5000</v>
      </c>
      <c r="AK6" s="14"/>
      <c r="AL6" s="14"/>
      <c r="AM6" s="12">
        <v>2000000</v>
      </c>
      <c r="AN6" s="16">
        <f>AM6+AJ6-AI6-AL6</f>
        <v>341000</v>
      </c>
    </row>
    <row r="7" spans="1:40" x14ac:dyDescent="0.3">
      <c r="A7" s="9">
        <v>4</v>
      </c>
      <c r="B7" s="10" t="s">
        <v>14</v>
      </c>
      <c r="C7" s="11">
        <v>2</v>
      </c>
      <c r="D7" s="11">
        <v>2</v>
      </c>
      <c r="E7" s="11">
        <v>2</v>
      </c>
      <c r="F7" s="11">
        <v>2</v>
      </c>
      <c r="G7" s="17">
        <v>1</v>
      </c>
      <c r="H7" s="11">
        <v>2</v>
      </c>
      <c r="I7" s="11">
        <v>2</v>
      </c>
      <c r="J7" s="17">
        <v>1</v>
      </c>
      <c r="K7" s="11">
        <v>2</v>
      </c>
      <c r="L7" s="11">
        <v>2</v>
      </c>
      <c r="M7" s="17">
        <v>1</v>
      </c>
      <c r="N7" s="11">
        <v>2</v>
      </c>
      <c r="O7" s="11">
        <v>2</v>
      </c>
      <c r="P7" s="11">
        <v>2</v>
      </c>
      <c r="Q7" s="17">
        <v>1</v>
      </c>
      <c r="R7" s="11">
        <v>2</v>
      </c>
      <c r="S7" s="11">
        <v>2</v>
      </c>
      <c r="T7" s="17">
        <v>1</v>
      </c>
      <c r="U7" s="11">
        <v>2</v>
      </c>
      <c r="V7" s="11">
        <v>2</v>
      </c>
      <c r="W7" s="11">
        <v>2</v>
      </c>
      <c r="X7" s="11">
        <v>2</v>
      </c>
      <c r="Y7" s="11">
        <v>2</v>
      </c>
      <c r="Z7" s="11">
        <v>2</v>
      </c>
      <c r="AA7" s="11">
        <v>2</v>
      </c>
      <c r="AB7" s="11">
        <v>2</v>
      </c>
      <c r="AC7" s="11">
        <v>2</v>
      </c>
      <c r="AD7" s="11">
        <v>2</v>
      </c>
      <c r="AE7" s="11">
        <v>2</v>
      </c>
      <c r="AF7" s="11">
        <v>2</v>
      </c>
      <c r="AG7" s="9">
        <f t="shared" si="1"/>
        <v>55</v>
      </c>
      <c r="AH7" s="12">
        <v>32000</v>
      </c>
      <c r="AI7" s="13">
        <f t="shared" si="0"/>
        <v>1760000</v>
      </c>
      <c r="AJ7" s="14">
        <v>3546572</v>
      </c>
      <c r="AK7" s="14"/>
      <c r="AL7" s="14"/>
      <c r="AM7" s="12"/>
      <c r="AN7" s="16">
        <f>AM7+AJ7-AI7-AL7</f>
        <v>1786572</v>
      </c>
    </row>
    <row r="8" spans="1:40" x14ac:dyDescent="0.3">
      <c r="A8" s="9">
        <v>5</v>
      </c>
      <c r="B8" s="10" t="s">
        <v>15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/>
      <c r="N8" s="11"/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/>
      <c r="AB8" s="11"/>
      <c r="AC8" s="11">
        <v>1</v>
      </c>
      <c r="AD8" s="11">
        <v>1</v>
      </c>
      <c r="AE8" s="11">
        <v>1</v>
      </c>
      <c r="AF8" s="11">
        <v>1</v>
      </c>
      <c r="AG8" s="9">
        <f t="shared" si="1"/>
        <v>26</v>
      </c>
      <c r="AH8" s="12">
        <v>32000</v>
      </c>
      <c r="AI8" s="13">
        <f t="shared" si="0"/>
        <v>832000</v>
      </c>
      <c r="AJ8" s="14">
        <v>1476984</v>
      </c>
      <c r="AK8" s="14"/>
      <c r="AL8" s="14"/>
      <c r="AM8" s="12"/>
      <c r="AN8" s="16">
        <f>AM8+AJ8-AI8-AL8</f>
        <v>644984</v>
      </c>
    </row>
    <row r="9" spans="1:40" x14ac:dyDescent="0.3">
      <c r="A9" s="9">
        <v>6</v>
      </c>
      <c r="B9" s="10" t="s">
        <v>16</v>
      </c>
      <c r="C9" s="11">
        <v>1</v>
      </c>
      <c r="D9" s="11">
        <v>2</v>
      </c>
      <c r="E9" s="11">
        <v>2</v>
      </c>
      <c r="F9" s="11">
        <v>2</v>
      </c>
      <c r="G9" s="11">
        <v>1</v>
      </c>
      <c r="H9" s="11">
        <v>2</v>
      </c>
      <c r="I9" s="11">
        <v>2</v>
      </c>
      <c r="J9" s="11">
        <v>2</v>
      </c>
      <c r="K9" s="11">
        <v>2</v>
      </c>
      <c r="L9" s="11">
        <v>2</v>
      </c>
      <c r="M9" s="11">
        <v>2</v>
      </c>
      <c r="N9" s="11">
        <v>2</v>
      </c>
      <c r="O9" s="11">
        <v>2</v>
      </c>
      <c r="P9" s="11">
        <v>2</v>
      </c>
      <c r="Q9" s="11">
        <v>2</v>
      </c>
      <c r="R9" s="11">
        <v>2</v>
      </c>
      <c r="S9" s="11">
        <v>2</v>
      </c>
      <c r="T9" s="11">
        <v>2</v>
      </c>
      <c r="U9" s="11">
        <v>2</v>
      </c>
      <c r="V9" s="11">
        <v>2</v>
      </c>
      <c r="W9" s="11">
        <v>2</v>
      </c>
      <c r="X9" s="11">
        <v>2</v>
      </c>
      <c r="Y9" s="11">
        <v>2</v>
      </c>
      <c r="Z9" s="11">
        <v>2</v>
      </c>
      <c r="AA9" s="11">
        <v>2</v>
      </c>
      <c r="AB9" s="11">
        <v>2</v>
      </c>
      <c r="AC9" s="11">
        <v>2</v>
      </c>
      <c r="AD9" s="11">
        <v>2</v>
      </c>
      <c r="AE9" s="11">
        <v>2</v>
      </c>
      <c r="AF9" s="11">
        <v>2</v>
      </c>
      <c r="AG9" s="9">
        <f t="shared" si="1"/>
        <v>58</v>
      </c>
      <c r="AH9" s="12">
        <v>32000</v>
      </c>
      <c r="AI9" s="13">
        <f t="shared" si="0"/>
        <v>1856000</v>
      </c>
      <c r="AJ9" s="18">
        <v>1435000</v>
      </c>
      <c r="AK9" s="18"/>
      <c r="AL9" s="18"/>
      <c r="AM9" s="18"/>
      <c r="AN9" s="15">
        <f>AM9+AJ9-AI9-AL9</f>
        <v>-421000</v>
      </c>
    </row>
    <row r="10" spans="1:40" x14ac:dyDescent="0.3">
      <c r="A10" s="9">
        <v>7</v>
      </c>
      <c r="B10" s="10" t="s">
        <v>17</v>
      </c>
      <c r="C10" s="11">
        <v>2</v>
      </c>
      <c r="D10" s="11">
        <v>2</v>
      </c>
      <c r="E10" s="11">
        <v>2</v>
      </c>
      <c r="F10" s="11">
        <v>2</v>
      </c>
      <c r="G10" s="11">
        <v>2</v>
      </c>
      <c r="H10" s="11">
        <v>2</v>
      </c>
      <c r="I10" s="11">
        <v>2</v>
      </c>
      <c r="J10" s="11">
        <v>2</v>
      </c>
      <c r="K10" s="11">
        <v>2</v>
      </c>
      <c r="L10" s="11"/>
      <c r="M10" s="11"/>
      <c r="N10" s="11"/>
      <c r="O10" s="11">
        <v>2</v>
      </c>
      <c r="P10" s="11">
        <v>2</v>
      </c>
      <c r="Q10" s="11">
        <v>2</v>
      </c>
      <c r="R10" s="11">
        <v>2</v>
      </c>
      <c r="S10" s="11">
        <v>2</v>
      </c>
      <c r="T10" s="11">
        <v>2</v>
      </c>
      <c r="U10" s="11">
        <v>2</v>
      </c>
      <c r="V10" s="11">
        <v>2</v>
      </c>
      <c r="W10" s="11">
        <v>2</v>
      </c>
      <c r="X10" s="11">
        <v>2</v>
      </c>
      <c r="Y10" s="11">
        <v>2</v>
      </c>
      <c r="Z10" s="11">
        <v>2</v>
      </c>
      <c r="AA10" s="11">
        <v>2</v>
      </c>
      <c r="AB10" s="11"/>
      <c r="AC10" s="11"/>
      <c r="AD10" s="11">
        <v>2</v>
      </c>
      <c r="AE10" s="11">
        <v>2</v>
      </c>
      <c r="AF10" s="11">
        <v>2</v>
      </c>
      <c r="AG10" s="9">
        <f t="shared" si="1"/>
        <v>50</v>
      </c>
      <c r="AH10" s="12">
        <v>32000</v>
      </c>
      <c r="AI10" s="13">
        <f t="shared" si="0"/>
        <v>1600000</v>
      </c>
      <c r="AJ10" s="14">
        <v>1448748</v>
      </c>
      <c r="AK10" s="14"/>
      <c r="AL10" s="14"/>
      <c r="AM10" s="12"/>
      <c r="AN10" s="15">
        <f>AM10+AJ10-AI10-AL10</f>
        <v>-151252</v>
      </c>
    </row>
    <row r="11" spans="1:40" x14ac:dyDescent="0.3">
      <c r="A11" s="9">
        <v>8</v>
      </c>
      <c r="B11" s="10" t="s">
        <v>18</v>
      </c>
      <c r="C11" s="11">
        <v>1</v>
      </c>
      <c r="D11" s="11">
        <v>1</v>
      </c>
      <c r="E11" s="11">
        <v>1</v>
      </c>
      <c r="F11" s="11">
        <v>1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/>
      <c r="AC11" s="11"/>
      <c r="AD11" s="11">
        <v>1</v>
      </c>
      <c r="AE11" s="11">
        <v>1</v>
      </c>
      <c r="AF11" s="11">
        <v>1</v>
      </c>
      <c r="AG11" s="9">
        <f t="shared" si="1"/>
        <v>28</v>
      </c>
      <c r="AH11" s="12">
        <v>32000</v>
      </c>
      <c r="AI11" s="13">
        <f t="shared" si="0"/>
        <v>896000</v>
      </c>
      <c r="AJ11" s="14">
        <v>1460948</v>
      </c>
      <c r="AK11" s="14"/>
      <c r="AL11" s="14"/>
      <c r="AM11" s="12"/>
      <c r="AN11" s="16">
        <f>AM11+AJ11-AI11-AL11</f>
        <v>564948</v>
      </c>
    </row>
    <row r="12" spans="1:40" x14ac:dyDescent="0.3">
      <c r="A12" s="9">
        <v>9</v>
      </c>
      <c r="B12" s="19" t="s">
        <v>19</v>
      </c>
      <c r="C12" s="11">
        <v>2</v>
      </c>
      <c r="D12" s="11">
        <v>2</v>
      </c>
      <c r="E12" s="11">
        <v>2</v>
      </c>
      <c r="F12" s="11">
        <v>2</v>
      </c>
      <c r="G12" s="11">
        <v>2</v>
      </c>
      <c r="H12" s="11">
        <v>2</v>
      </c>
      <c r="I12" s="11">
        <v>2</v>
      </c>
      <c r="J12" s="11">
        <v>2</v>
      </c>
      <c r="K12" s="11">
        <v>2</v>
      </c>
      <c r="L12" s="11">
        <v>2</v>
      </c>
      <c r="M12" s="11"/>
      <c r="N12" s="11"/>
      <c r="O12" s="11"/>
      <c r="P12" s="11">
        <v>2</v>
      </c>
      <c r="Q12" s="11">
        <v>2</v>
      </c>
      <c r="R12" s="11">
        <v>2</v>
      </c>
      <c r="S12" s="11">
        <v>2</v>
      </c>
      <c r="T12" s="11">
        <v>2</v>
      </c>
      <c r="U12" s="11">
        <v>2</v>
      </c>
      <c r="V12" s="11">
        <v>2</v>
      </c>
      <c r="W12" s="11">
        <v>2</v>
      </c>
      <c r="X12" s="11">
        <v>2</v>
      </c>
      <c r="Y12" s="11">
        <v>2</v>
      </c>
      <c r="Z12" s="11">
        <v>2</v>
      </c>
      <c r="AA12" s="11">
        <v>2</v>
      </c>
      <c r="AB12" s="11">
        <v>2</v>
      </c>
      <c r="AC12" s="11">
        <v>2</v>
      </c>
      <c r="AD12" s="11">
        <v>2</v>
      </c>
      <c r="AE12" s="11">
        <v>2</v>
      </c>
      <c r="AF12" s="11">
        <v>2</v>
      </c>
      <c r="AG12" s="9">
        <f t="shared" si="1"/>
        <v>54</v>
      </c>
      <c r="AH12" s="12">
        <v>32000</v>
      </c>
      <c r="AI12" s="13">
        <f t="shared" si="0"/>
        <v>1728000</v>
      </c>
      <c r="AJ12" s="14">
        <v>2970836</v>
      </c>
      <c r="AK12" s="14"/>
      <c r="AL12" s="14"/>
      <c r="AM12" s="12"/>
      <c r="AN12" s="16">
        <f>AM12+AJ12-AI12-AL12</f>
        <v>1242836</v>
      </c>
    </row>
    <row r="13" spans="1:40" x14ac:dyDescent="0.3">
      <c r="A13" s="9">
        <v>10</v>
      </c>
      <c r="B13" s="19" t="s">
        <v>20</v>
      </c>
      <c r="C13" s="11"/>
      <c r="D13" s="11">
        <v>2</v>
      </c>
      <c r="E13" s="11"/>
      <c r="F13" s="11"/>
      <c r="G13" s="11">
        <v>1</v>
      </c>
      <c r="H13" s="11">
        <v>2</v>
      </c>
      <c r="I13" s="11">
        <v>2</v>
      </c>
      <c r="J13" s="11">
        <v>1</v>
      </c>
      <c r="K13" s="11">
        <v>2</v>
      </c>
      <c r="L13" s="11">
        <v>2</v>
      </c>
      <c r="M13" s="11">
        <v>1</v>
      </c>
      <c r="N13" s="11">
        <v>2</v>
      </c>
      <c r="O13" s="11">
        <v>2</v>
      </c>
      <c r="P13" s="11">
        <v>2</v>
      </c>
      <c r="Q13" s="11">
        <v>1</v>
      </c>
      <c r="R13" s="11">
        <v>2</v>
      </c>
      <c r="S13" s="11">
        <v>2</v>
      </c>
      <c r="T13" s="11">
        <v>2</v>
      </c>
      <c r="U13" s="11">
        <v>2</v>
      </c>
      <c r="V13" s="11">
        <v>2</v>
      </c>
      <c r="W13" s="11">
        <v>2</v>
      </c>
      <c r="X13" s="11">
        <v>2</v>
      </c>
      <c r="Y13" s="11">
        <v>2</v>
      </c>
      <c r="Z13" s="11">
        <v>2</v>
      </c>
      <c r="AA13" s="11">
        <v>2</v>
      </c>
      <c r="AB13" s="11"/>
      <c r="AC13" s="11"/>
      <c r="AD13" s="11">
        <v>2</v>
      </c>
      <c r="AE13" s="11">
        <v>2</v>
      </c>
      <c r="AF13" s="11">
        <v>2</v>
      </c>
      <c r="AG13" s="9">
        <f t="shared" si="1"/>
        <v>46</v>
      </c>
      <c r="AH13" s="12">
        <v>32000</v>
      </c>
      <c r="AI13" s="13">
        <f t="shared" si="0"/>
        <v>1472000</v>
      </c>
      <c r="AJ13" s="14">
        <v>3056660</v>
      </c>
      <c r="AK13" s="14"/>
      <c r="AL13" s="14"/>
      <c r="AM13" s="12"/>
      <c r="AN13" s="16">
        <f>AM13+AJ13-AI13-AL13</f>
        <v>1584660</v>
      </c>
    </row>
    <row r="14" spans="1:40" x14ac:dyDescent="0.3">
      <c r="A14" s="9">
        <v>11</v>
      </c>
      <c r="B14" s="19" t="s">
        <v>21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>
        <v>1</v>
      </c>
      <c r="X14" s="11">
        <v>1</v>
      </c>
      <c r="Y14" s="11">
        <v>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1">
        <v>1</v>
      </c>
      <c r="AG14" s="9">
        <f t="shared" si="1"/>
        <v>10</v>
      </c>
      <c r="AH14" s="12">
        <v>32000</v>
      </c>
      <c r="AI14" s="13">
        <f t="shared" si="0"/>
        <v>320000</v>
      </c>
      <c r="AJ14" s="20"/>
      <c r="AK14" s="20"/>
      <c r="AL14" s="14"/>
      <c r="AM14" s="12"/>
      <c r="AN14" s="16">
        <f>AM14+AJ14-AI14-AL14</f>
        <v>-320000</v>
      </c>
    </row>
    <row r="15" spans="1:40" x14ac:dyDescent="0.3">
      <c r="A15" s="9">
        <v>12</v>
      </c>
      <c r="B15" s="19" t="s">
        <v>22</v>
      </c>
      <c r="C15" s="11"/>
      <c r="D15" s="11">
        <v>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>
        <f t="shared" si="1"/>
        <v>1</v>
      </c>
      <c r="AH15" s="12">
        <v>32000</v>
      </c>
      <c r="AI15" s="13">
        <f t="shared" si="0"/>
        <v>32000</v>
      </c>
      <c r="AJ15" s="14">
        <v>1220096</v>
      </c>
      <c r="AK15" s="14"/>
      <c r="AL15" s="14"/>
      <c r="AM15" s="12"/>
      <c r="AN15" s="16">
        <f>AM15+AJ15-AI15-AL15</f>
        <v>1188096</v>
      </c>
    </row>
    <row r="16" spans="1:40" x14ac:dyDescent="0.3">
      <c r="A16" s="9">
        <v>13</v>
      </c>
      <c r="B16" s="19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>
        <v>1</v>
      </c>
      <c r="X16" s="11">
        <v>1</v>
      </c>
      <c r="Y16" s="11">
        <v>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1">
        <v>1</v>
      </c>
      <c r="AG16" s="9">
        <f t="shared" si="1"/>
        <v>10</v>
      </c>
      <c r="AH16" s="12">
        <v>32000</v>
      </c>
      <c r="AI16" s="13">
        <f t="shared" si="0"/>
        <v>320000</v>
      </c>
      <c r="AJ16" s="14">
        <v>1383680</v>
      </c>
      <c r="AK16" s="14"/>
      <c r="AL16" s="14"/>
      <c r="AM16" s="12"/>
      <c r="AN16" s="16">
        <f>AM16+AJ16-AI16-AL16</f>
        <v>1063680</v>
      </c>
    </row>
    <row r="17" spans="1:40" x14ac:dyDescent="0.3">
      <c r="A17" s="9">
        <v>14</v>
      </c>
      <c r="B17" s="19" t="s">
        <v>24</v>
      </c>
      <c r="C17" s="11"/>
      <c r="D17" s="11">
        <v>1</v>
      </c>
      <c r="E17" s="11">
        <v>1</v>
      </c>
      <c r="F17" s="11"/>
      <c r="G17" s="11">
        <v>1</v>
      </c>
      <c r="H17" s="11"/>
      <c r="I17" s="11">
        <v>1</v>
      </c>
      <c r="J17" s="11"/>
      <c r="K17" s="11">
        <v>1</v>
      </c>
      <c r="L17" s="11">
        <v>1</v>
      </c>
      <c r="M17" s="11"/>
      <c r="N17" s="11">
        <v>1</v>
      </c>
      <c r="O17" s="11"/>
      <c r="P17" s="11">
        <v>1</v>
      </c>
      <c r="Q17" s="11"/>
      <c r="R17" s="11">
        <v>1</v>
      </c>
      <c r="S17" s="11">
        <v>1</v>
      </c>
      <c r="T17" s="11"/>
      <c r="U17" s="11">
        <v>1</v>
      </c>
      <c r="V17" s="11"/>
      <c r="W17" s="11">
        <v>1</v>
      </c>
      <c r="X17" s="11">
        <v>1</v>
      </c>
      <c r="Y17" s="11">
        <v>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1">
        <v>1</v>
      </c>
      <c r="AG17" s="9">
        <f t="shared" si="1"/>
        <v>21</v>
      </c>
      <c r="AH17" s="12">
        <v>32000</v>
      </c>
      <c r="AI17" s="13">
        <f t="shared" si="0"/>
        <v>672000</v>
      </c>
      <c r="AJ17" s="21">
        <v>378624</v>
      </c>
      <c r="AK17" s="21"/>
      <c r="AL17" s="21"/>
      <c r="AM17" s="22"/>
      <c r="AN17" s="15">
        <f>AM17+AJ17-AI17-AL17</f>
        <v>-293376</v>
      </c>
    </row>
    <row r="18" spans="1:40" x14ac:dyDescent="0.3">
      <c r="A18" s="9">
        <v>15</v>
      </c>
      <c r="B18" s="19" t="s">
        <v>25</v>
      </c>
      <c r="C18" s="11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11">
        <v>1</v>
      </c>
      <c r="J18" s="11">
        <v>1</v>
      </c>
      <c r="K18" s="11">
        <v>1</v>
      </c>
      <c r="L18" s="11">
        <v>1</v>
      </c>
      <c r="M18" s="11">
        <v>1</v>
      </c>
      <c r="N18" s="11">
        <v>1</v>
      </c>
      <c r="O18" s="11">
        <v>1</v>
      </c>
      <c r="P18" s="11">
        <v>1</v>
      </c>
      <c r="Q18" s="11">
        <v>1</v>
      </c>
      <c r="R18" s="11"/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/>
      <c r="AF18" s="11">
        <v>1</v>
      </c>
      <c r="AG18" s="9">
        <f t="shared" si="1"/>
        <v>28</v>
      </c>
      <c r="AH18" s="12">
        <v>32000</v>
      </c>
      <c r="AI18" s="13">
        <f t="shared" si="0"/>
        <v>896000</v>
      </c>
      <c r="AJ18" s="14">
        <v>-1715488</v>
      </c>
      <c r="AK18" s="14"/>
      <c r="AL18" s="14"/>
      <c r="AM18" s="12"/>
      <c r="AN18" s="15">
        <f>AM18+AJ18-AI18-AL18</f>
        <v>-2611488</v>
      </c>
    </row>
    <row r="19" spans="1:40" x14ac:dyDescent="0.3">
      <c r="A19" s="9">
        <v>16</v>
      </c>
      <c r="B19" s="19" t="s">
        <v>26</v>
      </c>
      <c r="C19" s="11">
        <v>1</v>
      </c>
      <c r="D19" s="11">
        <v>1</v>
      </c>
      <c r="E19" s="11">
        <v>1</v>
      </c>
      <c r="F19" s="11">
        <v>1</v>
      </c>
      <c r="G19" s="11">
        <v>1</v>
      </c>
      <c r="H19" s="11">
        <v>2</v>
      </c>
      <c r="I19" s="11">
        <v>2</v>
      </c>
      <c r="J19" s="11">
        <v>1</v>
      </c>
      <c r="K19" s="11">
        <v>2</v>
      </c>
      <c r="L19" s="11">
        <v>2</v>
      </c>
      <c r="M19" s="11">
        <v>1</v>
      </c>
      <c r="N19" s="11">
        <v>2</v>
      </c>
      <c r="O19" s="11">
        <v>2</v>
      </c>
      <c r="P19" s="11">
        <v>2</v>
      </c>
      <c r="Q19" s="11">
        <v>1</v>
      </c>
      <c r="R19" s="11"/>
      <c r="S19" s="11"/>
      <c r="T19" s="11">
        <v>1</v>
      </c>
      <c r="U19" s="11">
        <v>2</v>
      </c>
      <c r="V19" s="11">
        <v>2</v>
      </c>
      <c r="W19" s="11">
        <v>2</v>
      </c>
      <c r="X19" s="11">
        <v>1</v>
      </c>
      <c r="Y19" s="11">
        <v>2</v>
      </c>
      <c r="Z19" s="11">
        <v>2</v>
      </c>
      <c r="AA19" s="11">
        <v>2</v>
      </c>
      <c r="AB19" s="11">
        <v>2</v>
      </c>
      <c r="AC19" s="11">
        <v>2</v>
      </c>
      <c r="AD19" s="11">
        <v>2</v>
      </c>
      <c r="AE19" s="11">
        <v>2</v>
      </c>
      <c r="AF19" s="11">
        <v>2</v>
      </c>
      <c r="AG19" s="9">
        <f t="shared" si="1"/>
        <v>46</v>
      </c>
      <c r="AH19" s="12">
        <v>32000</v>
      </c>
      <c r="AI19" s="13">
        <f t="shared" si="0"/>
        <v>1472000</v>
      </c>
      <c r="AJ19" s="14">
        <v>1064248</v>
      </c>
      <c r="AK19" s="14"/>
      <c r="AL19" s="14"/>
      <c r="AM19" s="12"/>
      <c r="AN19" s="15">
        <f>AM19+AJ19-AI19-AL19</f>
        <v>-407752</v>
      </c>
    </row>
    <row r="20" spans="1:40" x14ac:dyDescent="0.3">
      <c r="A20" s="9">
        <v>17</v>
      </c>
      <c r="B20" s="19" t="s">
        <v>27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>
        <v>1</v>
      </c>
      <c r="X20" s="11">
        <v>1</v>
      </c>
      <c r="Y20" s="11">
        <v>1</v>
      </c>
      <c r="Z20" s="11">
        <v>1</v>
      </c>
      <c r="AA20" s="11"/>
      <c r="AB20" s="11"/>
      <c r="AC20" s="11"/>
      <c r="AD20" s="11"/>
      <c r="AE20" s="11"/>
      <c r="AF20" s="11"/>
      <c r="AG20" s="9">
        <f t="shared" si="1"/>
        <v>4</v>
      </c>
      <c r="AH20" s="12">
        <v>32000</v>
      </c>
      <c r="AI20" s="13">
        <f t="shared" si="0"/>
        <v>128000</v>
      </c>
      <c r="AJ20" s="14">
        <v>1678624</v>
      </c>
      <c r="AK20" s="14"/>
      <c r="AL20" s="14"/>
      <c r="AM20" s="12"/>
      <c r="AN20" s="16">
        <f>AM20+AJ20-AI20-AL20</f>
        <v>1550624</v>
      </c>
    </row>
    <row r="21" spans="1:40" x14ac:dyDescent="0.3">
      <c r="A21" s="9">
        <v>18</v>
      </c>
      <c r="B21" s="19" t="s">
        <v>28</v>
      </c>
      <c r="C21" s="11">
        <v>2</v>
      </c>
      <c r="D21" s="11">
        <v>2</v>
      </c>
      <c r="E21" s="11">
        <v>2</v>
      </c>
      <c r="F21" s="11">
        <v>2</v>
      </c>
      <c r="G21" s="11">
        <v>2</v>
      </c>
      <c r="H21" s="11">
        <v>2</v>
      </c>
      <c r="I21" s="11">
        <v>2</v>
      </c>
      <c r="J21" s="11">
        <v>2</v>
      </c>
      <c r="K21" s="11">
        <v>2</v>
      </c>
      <c r="L21" s="11">
        <v>2</v>
      </c>
      <c r="M21" s="11">
        <v>2</v>
      </c>
      <c r="N21" s="11">
        <v>2</v>
      </c>
      <c r="O21" s="11">
        <v>2</v>
      </c>
      <c r="P21" s="11">
        <v>2</v>
      </c>
      <c r="Q21" s="11">
        <v>2</v>
      </c>
      <c r="R21" s="11">
        <v>2</v>
      </c>
      <c r="S21" s="11">
        <v>2</v>
      </c>
      <c r="T21" s="11">
        <v>2</v>
      </c>
      <c r="U21" s="11">
        <v>2</v>
      </c>
      <c r="V21" s="11">
        <v>2</v>
      </c>
      <c r="W21" s="11">
        <v>2</v>
      </c>
      <c r="X21" s="11">
        <v>2</v>
      </c>
      <c r="Y21" s="11">
        <v>2</v>
      </c>
      <c r="Z21" s="11">
        <v>2</v>
      </c>
      <c r="AA21" s="11">
        <v>2</v>
      </c>
      <c r="AB21" s="11"/>
      <c r="AC21" s="11"/>
      <c r="AD21" s="11"/>
      <c r="AE21" s="11">
        <v>2</v>
      </c>
      <c r="AF21" s="11">
        <v>2</v>
      </c>
      <c r="AG21" s="9">
        <f t="shared" si="1"/>
        <v>54</v>
      </c>
      <c r="AH21" s="12">
        <v>32000</v>
      </c>
      <c r="AI21" s="13">
        <f t="shared" si="0"/>
        <v>1728000</v>
      </c>
      <c r="AJ21" s="14">
        <v>1760808</v>
      </c>
      <c r="AK21" s="14"/>
      <c r="AL21" s="14"/>
      <c r="AM21" s="12"/>
      <c r="AN21" s="16">
        <f>AM21+AJ21-AI21-AL21</f>
        <v>32808</v>
      </c>
    </row>
    <row r="22" spans="1:40" x14ac:dyDescent="0.3">
      <c r="A22" s="9">
        <v>19</v>
      </c>
      <c r="B22" s="19" t="s">
        <v>29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>
        <v>1</v>
      </c>
      <c r="Z22" s="11"/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1">
        <v>1</v>
      </c>
      <c r="AG22" s="9">
        <f t="shared" si="1"/>
        <v>7</v>
      </c>
      <c r="AH22" s="12">
        <v>32000</v>
      </c>
      <c r="AI22" s="13">
        <f t="shared" si="0"/>
        <v>224000</v>
      </c>
      <c r="AJ22" s="14">
        <v>961272</v>
      </c>
      <c r="AK22" s="14"/>
      <c r="AL22" s="14"/>
      <c r="AM22" s="12"/>
      <c r="AN22" s="16">
        <f>AM22+AJ22-AI22-AL22</f>
        <v>737272</v>
      </c>
    </row>
    <row r="23" spans="1:40" x14ac:dyDescent="0.3">
      <c r="A23" s="9">
        <v>20</v>
      </c>
      <c r="B23" s="19" t="s">
        <v>30</v>
      </c>
      <c r="C23" s="11">
        <v>1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/>
      <c r="K23" s="11"/>
      <c r="L23" s="11">
        <v>1</v>
      </c>
      <c r="M23" s="11">
        <v>1</v>
      </c>
      <c r="N23" s="11">
        <v>1</v>
      </c>
      <c r="O23" s="11">
        <v>1</v>
      </c>
      <c r="P23" s="11">
        <v>1</v>
      </c>
      <c r="Q23" s="11">
        <v>1</v>
      </c>
      <c r="R23" s="11">
        <v>2</v>
      </c>
      <c r="S23" s="11">
        <v>2</v>
      </c>
      <c r="T23" s="11">
        <v>1</v>
      </c>
      <c r="U23" s="11">
        <v>2</v>
      </c>
      <c r="V23" s="11">
        <v>2</v>
      </c>
      <c r="W23" s="11">
        <v>2</v>
      </c>
      <c r="X23" s="11">
        <v>2</v>
      </c>
      <c r="Y23" s="11">
        <v>2</v>
      </c>
      <c r="Z23" s="11">
        <v>2</v>
      </c>
      <c r="AA23" s="11">
        <v>2</v>
      </c>
      <c r="AB23" s="11"/>
      <c r="AC23" s="11"/>
      <c r="AD23" s="11">
        <v>2</v>
      </c>
      <c r="AE23" s="11">
        <v>2</v>
      </c>
      <c r="AF23" s="11">
        <v>2</v>
      </c>
      <c r="AG23" s="9">
        <f t="shared" si="1"/>
        <v>38</v>
      </c>
      <c r="AH23" s="12">
        <v>32000</v>
      </c>
      <c r="AI23" s="13">
        <f t="shared" si="0"/>
        <v>1216000</v>
      </c>
      <c r="AJ23" s="14">
        <v>2211776</v>
      </c>
      <c r="AK23" s="14"/>
      <c r="AL23" s="14"/>
      <c r="AM23" s="12"/>
      <c r="AN23" s="16">
        <f>AM23+AJ23-AI23-AL23</f>
        <v>995776</v>
      </c>
    </row>
    <row r="24" spans="1:40" x14ac:dyDescent="0.3">
      <c r="A24" s="9">
        <v>21</v>
      </c>
      <c r="B24" s="19" t="s">
        <v>31</v>
      </c>
      <c r="C24" s="11">
        <v>1</v>
      </c>
      <c r="D24" s="11">
        <v>1</v>
      </c>
      <c r="E24" s="11"/>
      <c r="F24" s="11">
        <v>1</v>
      </c>
      <c r="G24" s="11">
        <v>1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1</v>
      </c>
      <c r="Q24" s="11">
        <v>1</v>
      </c>
      <c r="R24" s="11">
        <v>1</v>
      </c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11"/>
      <c r="AC24" s="11"/>
      <c r="AD24" s="11">
        <v>1</v>
      </c>
      <c r="AE24" s="11">
        <v>1</v>
      </c>
      <c r="AF24" s="11">
        <v>1</v>
      </c>
      <c r="AG24" s="9">
        <f t="shared" si="1"/>
        <v>27</v>
      </c>
      <c r="AH24" s="12">
        <v>32000</v>
      </c>
      <c r="AI24" s="13">
        <f t="shared" si="0"/>
        <v>864000</v>
      </c>
      <c r="AJ24" s="14">
        <v>-408104</v>
      </c>
      <c r="AK24" s="14"/>
      <c r="AL24" s="14"/>
      <c r="AM24" s="12"/>
      <c r="AN24" s="15">
        <f>AM24+AJ24-AI24-AL24</f>
        <v>-1272104</v>
      </c>
    </row>
    <row r="25" spans="1:40" x14ac:dyDescent="0.3">
      <c r="A25" s="9">
        <v>22</v>
      </c>
      <c r="B25" s="19" t="s">
        <v>32</v>
      </c>
      <c r="C25" s="11">
        <v>1</v>
      </c>
      <c r="D25" s="11">
        <v>1</v>
      </c>
      <c r="E25" s="11">
        <v>1</v>
      </c>
      <c r="F25" s="11">
        <v>1</v>
      </c>
      <c r="G25" s="11"/>
      <c r="H25" s="11">
        <v>1</v>
      </c>
      <c r="I25" s="11">
        <v>1</v>
      </c>
      <c r="J25" s="11">
        <v>1</v>
      </c>
      <c r="K25" s="11">
        <v>1</v>
      </c>
      <c r="L25" s="11"/>
      <c r="M25" s="11"/>
      <c r="N25" s="11">
        <v>1</v>
      </c>
      <c r="O25" s="11">
        <v>1</v>
      </c>
      <c r="P25" s="11">
        <v>1</v>
      </c>
      <c r="Q25" s="11">
        <v>1</v>
      </c>
      <c r="R25" s="11"/>
      <c r="S25" s="11"/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1</v>
      </c>
      <c r="AB25" s="11"/>
      <c r="AC25" s="11"/>
      <c r="AD25" s="11">
        <v>1</v>
      </c>
      <c r="AE25" s="11"/>
      <c r="AF25" s="11"/>
      <c r="AG25" s="9">
        <f t="shared" si="1"/>
        <v>21</v>
      </c>
      <c r="AH25" s="12">
        <v>32000</v>
      </c>
      <c r="AI25" s="13">
        <f t="shared" si="0"/>
        <v>672000</v>
      </c>
      <c r="AJ25" s="14">
        <v>1621216</v>
      </c>
      <c r="AK25" s="14"/>
      <c r="AL25" s="14"/>
      <c r="AM25" s="12"/>
      <c r="AN25" s="16">
        <f>AM25+AJ25-AI25-AL25</f>
        <v>949216</v>
      </c>
    </row>
    <row r="26" spans="1:40" x14ac:dyDescent="0.3">
      <c r="A26" s="9">
        <v>23</v>
      </c>
      <c r="B26" s="19" t="s">
        <v>33</v>
      </c>
      <c r="C26" s="11">
        <v>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9">
        <f t="shared" si="1"/>
        <v>1</v>
      </c>
      <c r="AH26" s="12">
        <v>32000</v>
      </c>
      <c r="AI26" s="13">
        <f t="shared" si="0"/>
        <v>32000</v>
      </c>
      <c r="AJ26" s="14">
        <v>1523216</v>
      </c>
      <c r="AK26" s="14"/>
      <c r="AL26" s="14"/>
      <c r="AM26" s="12"/>
      <c r="AN26" s="16">
        <f>AM26+AJ26-AI26-AL26</f>
        <v>1491216</v>
      </c>
    </row>
    <row r="27" spans="1:40" x14ac:dyDescent="0.3">
      <c r="A27" s="9">
        <v>24</v>
      </c>
      <c r="B27" s="19" t="s">
        <v>34</v>
      </c>
      <c r="C27" s="11">
        <v>2</v>
      </c>
      <c r="D27" s="11">
        <v>2</v>
      </c>
      <c r="E27" s="11">
        <v>2</v>
      </c>
      <c r="F27" s="11">
        <v>2</v>
      </c>
      <c r="G27" s="11">
        <v>2</v>
      </c>
      <c r="H27" s="11">
        <v>2</v>
      </c>
      <c r="I27" s="11">
        <v>2</v>
      </c>
      <c r="J27" s="11">
        <v>2</v>
      </c>
      <c r="K27" s="11">
        <v>2</v>
      </c>
      <c r="L27" s="11">
        <v>2</v>
      </c>
      <c r="M27" s="11"/>
      <c r="N27" s="11"/>
      <c r="O27" s="11"/>
      <c r="P27" s="11">
        <v>2</v>
      </c>
      <c r="Q27" s="11">
        <v>2</v>
      </c>
      <c r="R27" s="11">
        <v>2</v>
      </c>
      <c r="S27" s="11">
        <v>2</v>
      </c>
      <c r="T27" s="11">
        <v>2</v>
      </c>
      <c r="U27" s="11">
        <v>2</v>
      </c>
      <c r="V27" s="11">
        <v>2</v>
      </c>
      <c r="W27" s="11">
        <v>2</v>
      </c>
      <c r="X27" s="11">
        <v>2</v>
      </c>
      <c r="Y27" s="11">
        <v>2</v>
      </c>
      <c r="Z27" s="11">
        <v>2</v>
      </c>
      <c r="AA27" s="11">
        <v>2</v>
      </c>
      <c r="AB27" s="11">
        <v>2</v>
      </c>
      <c r="AC27" s="11">
        <v>2</v>
      </c>
      <c r="AD27" s="11">
        <v>2</v>
      </c>
      <c r="AE27" s="11">
        <v>2</v>
      </c>
      <c r="AF27" s="11">
        <v>2</v>
      </c>
      <c r="AG27" s="9">
        <f t="shared" si="1"/>
        <v>54</v>
      </c>
      <c r="AH27" s="12">
        <v>32000</v>
      </c>
      <c r="AI27" s="13">
        <f t="shared" si="0"/>
        <v>1728000</v>
      </c>
      <c r="AJ27" s="14">
        <v>2215000</v>
      </c>
      <c r="AK27" s="14"/>
      <c r="AL27" s="14"/>
      <c r="AM27" s="12"/>
      <c r="AN27" s="16">
        <f>AM27+AJ27-AI27-AL27</f>
        <v>487000</v>
      </c>
    </row>
    <row r="28" spans="1:40" x14ac:dyDescent="0.3">
      <c r="A28" s="9">
        <v>25</v>
      </c>
      <c r="B28" s="19" t="s">
        <v>35</v>
      </c>
      <c r="C28" s="11">
        <v>1</v>
      </c>
      <c r="D28" s="11">
        <v>1</v>
      </c>
      <c r="E28" s="11">
        <v>1</v>
      </c>
      <c r="F28" s="11">
        <v>1</v>
      </c>
      <c r="G28" s="11">
        <v>1</v>
      </c>
      <c r="H28" s="11">
        <v>1</v>
      </c>
      <c r="I28" s="11">
        <v>1</v>
      </c>
      <c r="J28" s="11"/>
      <c r="K28" s="11"/>
      <c r="L28" s="11"/>
      <c r="M28" s="11">
        <v>1</v>
      </c>
      <c r="N28" s="11">
        <v>1</v>
      </c>
      <c r="O28" s="11">
        <v>1</v>
      </c>
      <c r="P28" s="11">
        <v>1</v>
      </c>
      <c r="Q28" s="11">
        <v>1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9">
        <f t="shared" si="1"/>
        <v>12</v>
      </c>
      <c r="AH28" s="12">
        <v>32000</v>
      </c>
      <c r="AI28" s="13">
        <f t="shared" si="0"/>
        <v>384000</v>
      </c>
      <c r="AJ28" s="14">
        <v>-521136</v>
      </c>
      <c r="AK28" s="14"/>
      <c r="AL28" s="14"/>
      <c r="AM28" s="12"/>
      <c r="AN28" s="15">
        <f>AM28+AJ28-AI28-AL28</f>
        <v>-905136</v>
      </c>
    </row>
    <row r="29" spans="1:40" x14ac:dyDescent="0.3">
      <c r="A29" s="9">
        <v>26</v>
      </c>
      <c r="B29" s="19" t="s">
        <v>36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>
        <v>1</v>
      </c>
      <c r="X29" s="11">
        <v>1</v>
      </c>
      <c r="Y29" s="11">
        <v>1</v>
      </c>
      <c r="Z29" s="11"/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1">
        <v>1</v>
      </c>
      <c r="AG29" s="9">
        <f t="shared" si="1"/>
        <v>9</v>
      </c>
      <c r="AH29" s="12">
        <v>32000</v>
      </c>
      <c r="AI29" s="13">
        <f t="shared" si="0"/>
        <v>288000</v>
      </c>
      <c r="AJ29" s="14">
        <v>300000</v>
      </c>
      <c r="AK29" s="14"/>
      <c r="AL29" s="14"/>
      <c r="AM29" s="12"/>
      <c r="AN29" s="16">
        <f>AM29+AJ29-AI29-AL29</f>
        <v>12000</v>
      </c>
    </row>
    <row r="30" spans="1:40" x14ac:dyDescent="0.3">
      <c r="A30" s="9">
        <v>27</v>
      </c>
      <c r="B30" s="19" t="s">
        <v>37</v>
      </c>
      <c r="C30" s="11">
        <v>1</v>
      </c>
      <c r="D30" s="11">
        <v>1</v>
      </c>
      <c r="E30" s="11">
        <v>1</v>
      </c>
      <c r="F30" s="11">
        <v>1</v>
      </c>
      <c r="G30" s="11">
        <v>1</v>
      </c>
      <c r="H30" s="11"/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/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/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1"/>
      <c r="AD30" s="11">
        <v>1</v>
      </c>
      <c r="AE30" s="11">
        <v>1</v>
      </c>
      <c r="AF30" s="11">
        <v>1</v>
      </c>
      <c r="AG30" s="9">
        <f t="shared" si="1"/>
        <v>26</v>
      </c>
      <c r="AH30" s="12">
        <v>32000</v>
      </c>
      <c r="AI30" s="13">
        <f t="shared" si="0"/>
        <v>832000</v>
      </c>
      <c r="AJ30" s="14">
        <v>300000</v>
      </c>
      <c r="AK30" s="14"/>
      <c r="AL30" s="14"/>
      <c r="AM30" s="12">
        <v>1000000</v>
      </c>
      <c r="AN30" s="23">
        <f>AM30+AJ30-AI30-AL30</f>
        <v>468000</v>
      </c>
    </row>
    <row r="31" spans="1:40" x14ac:dyDescent="0.3">
      <c r="A31" s="9">
        <v>28</v>
      </c>
      <c r="B31" s="19" t="s">
        <v>38</v>
      </c>
      <c r="C31" s="11"/>
      <c r="D31" s="11">
        <v>1</v>
      </c>
      <c r="E31" s="11">
        <v>1</v>
      </c>
      <c r="F31" s="11">
        <v>1</v>
      </c>
      <c r="G31" s="11"/>
      <c r="H31" s="11"/>
      <c r="I31" s="11"/>
      <c r="J31" s="11"/>
      <c r="K31" s="11"/>
      <c r="L31" s="11"/>
      <c r="M31" s="11"/>
      <c r="N31" s="11">
        <v>2</v>
      </c>
      <c r="O31" s="11">
        <v>2</v>
      </c>
      <c r="P31" s="11">
        <v>2</v>
      </c>
      <c r="Q31" s="11">
        <v>1</v>
      </c>
      <c r="R31" s="11">
        <v>2</v>
      </c>
      <c r="S31" s="11">
        <v>2</v>
      </c>
      <c r="T31" s="11">
        <v>1</v>
      </c>
      <c r="U31" s="11">
        <v>2</v>
      </c>
      <c r="V31" s="11">
        <v>2</v>
      </c>
      <c r="W31" s="11">
        <v>2</v>
      </c>
      <c r="X31" s="11">
        <v>2</v>
      </c>
      <c r="Y31" s="11"/>
      <c r="Z31" s="11"/>
      <c r="AA31" s="11">
        <v>2</v>
      </c>
      <c r="AB31" s="11">
        <v>2</v>
      </c>
      <c r="AC31" s="11">
        <v>2</v>
      </c>
      <c r="AD31" s="11">
        <v>2</v>
      </c>
      <c r="AE31" s="11">
        <v>2</v>
      </c>
      <c r="AF31" s="11">
        <v>2</v>
      </c>
      <c r="AG31" s="9">
        <f t="shared" si="1"/>
        <v>35</v>
      </c>
      <c r="AH31" s="12">
        <v>32000</v>
      </c>
      <c r="AI31" s="13">
        <f t="shared" si="0"/>
        <v>1120000</v>
      </c>
      <c r="AJ31" s="21">
        <v>300000</v>
      </c>
      <c r="AK31" s="21"/>
      <c r="AL31" s="21"/>
      <c r="AM31" s="22"/>
      <c r="AN31" s="16">
        <f>AM31+AJ31-AI31-AL31</f>
        <v>-820000</v>
      </c>
    </row>
    <row r="32" spans="1:40" x14ac:dyDescent="0.3">
      <c r="A32" s="9">
        <v>29</v>
      </c>
      <c r="B32" s="19" t="s">
        <v>39</v>
      </c>
      <c r="C32" s="11">
        <v>1</v>
      </c>
      <c r="D32" s="11">
        <v>1</v>
      </c>
      <c r="E32" s="11">
        <v>1</v>
      </c>
      <c r="F32" s="11">
        <v>1</v>
      </c>
      <c r="G32" s="11">
        <v>1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>
        <v>1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1">
        <v>1</v>
      </c>
      <c r="AG32" s="9">
        <f t="shared" si="1"/>
        <v>15</v>
      </c>
      <c r="AH32" s="12">
        <v>32000</v>
      </c>
      <c r="AI32" s="13">
        <f t="shared" si="0"/>
        <v>480000</v>
      </c>
      <c r="AJ32" s="14">
        <v>719328</v>
      </c>
      <c r="AK32" s="14"/>
      <c r="AL32" s="14"/>
      <c r="AM32" s="12">
        <v>1120000</v>
      </c>
      <c r="AN32" s="23">
        <f>AM32+AJ32-AI32-AL32</f>
        <v>1359328</v>
      </c>
    </row>
    <row r="33" spans="1:40" x14ac:dyDescent="0.3">
      <c r="A33" s="9">
        <v>30</v>
      </c>
      <c r="B33" s="19" t="s">
        <v>40</v>
      </c>
      <c r="C33" s="11">
        <v>1</v>
      </c>
      <c r="D33" s="11">
        <v>1</v>
      </c>
      <c r="E33" s="11">
        <v>1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11">
        <v>1</v>
      </c>
      <c r="L33" s="11"/>
      <c r="M33" s="11">
        <v>1</v>
      </c>
      <c r="N33" s="11">
        <v>1</v>
      </c>
      <c r="O33" s="11">
        <v>1</v>
      </c>
      <c r="P33" s="11">
        <v>1</v>
      </c>
      <c r="Q33" s="11">
        <v>1</v>
      </c>
      <c r="R33" s="11">
        <v>1</v>
      </c>
      <c r="S33" s="11">
        <v>1</v>
      </c>
      <c r="T33" s="11">
        <v>1</v>
      </c>
      <c r="U33" s="11">
        <v>1</v>
      </c>
      <c r="V33" s="11">
        <v>1</v>
      </c>
      <c r="W33" s="11">
        <v>1</v>
      </c>
      <c r="X33" s="11">
        <v>1</v>
      </c>
      <c r="Y33" s="11">
        <v>1</v>
      </c>
      <c r="Z33" s="11">
        <v>1</v>
      </c>
      <c r="AA33" s="11">
        <v>1</v>
      </c>
      <c r="AB33" s="11">
        <v>1</v>
      </c>
      <c r="AC33" s="11">
        <v>1</v>
      </c>
      <c r="AD33" s="11"/>
      <c r="AE33" s="11"/>
      <c r="AF33" s="11">
        <v>1</v>
      </c>
      <c r="AG33" s="9">
        <f t="shared" si="1"/>
        <v>27</v>
      </c>
      <c r="AH33" s="12">
        <v>32000</v>
      </c>
      <c r="AI33" s="13">
        <f t="shared" si="0"/>
        <v>864000</v>
      </c>
      <c r="AJ33" s="14">
        <v>2440000</v>
      </c>
      <c r="AK33" s="14"/>
      <c r="AL33" s="14"/>
      <c r="AM33" s="12"/>
      <c r="AN33" s="16">
        <f>AM33+AJ33-AI33-AL33</f>
        <v>1576000</v>
      </c>
    </row>
    <row r="34" spans="1:40" x14ac:dyDescent="0.3">
      <c r="A34" s="9">
        <v>31</v>
      </c>
      <c r="B34" s="19" t="s">
        <v>41</v>
      </c>
      <c r="C34" s="11">
        <v>1</v>
      </c>
      <c r="D34" s="11">
        <v>2</v>
      </c>
      <c r="E34" s="11">
        <v>2</v>
      </c>
      <c r="F34" s="11">
        <v>1</v>
      </c>
      <c r="G34" s="11"/>
      <c r="H34" s="11"/>
      <c r="I34" s="11"/>
      <c r="J34" s="11"/>
      <c r="K34" s="11"/>
      <c r="L34" s="11"/>
      <c r="M34" s="11"/>
      <c r="N34" s="11">
        <v>2</v>
      </c>
      <c r="O34" s="11">
        <v>1</v>
      </c>
      <c r="P34" s="11">
        <v>2</v>
      </c>
      <c r="Q34" s="11">
        <v>1</v>
      </c>
      <c r="R34" s="11">
        <v>2</v>
      </c>
      <c r="S34" s="11">
        <v>2</v>
      </c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9">
        <f t="shared" si="1"/>
        <v>16</v>
      </c>
      <c r="AH34" s="12">
        <v>32000</v>
      </c>
      <c r="AI34" s="13">
        <f t="shared" si="0"/>
        <v>512000</v>
      </c>
      <c r="AJ34" s="14"/>
      <c r="AK34" s="14"/>
      <c r="AL34" s="14">
        <v>500000</v>
      </c>
      <c r="AM34" s="12"/>
      <c r="AN34" s="15">
        <f>AM34+AJ34-AI34-AL34</f>
        <v>-1012000</v>
      </c>
    </row>
    <row r="35" spans="1:40" x14ac:dyDescent="0.3">
      <c r="A35" s="9">
        <v>32</v>
      </c>
      <c r="B35" s="19" t="s">
        <v>42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>
        <v>1</v>
      </c>
      <c r="AD35" s="11">
        <v>1</v>
      </c>
      <c r="AE35" s="11">
        <v>1</v>
      </c>
      <c r="AF35" s="11">
        <v>1</v>
      </c>
      <c r="AG35" s="9">
        <f t="shared" si="1"/>
        <v>4</v>
      </c>
      <c r="AH35" s="12">
        <v>32000</v>
      </c>
      <c r="AI35" s="13">
        <f t="shared" si="0"/>
        <v>128000</v>
      </c>
      <c r="AJ35" s="14">
        <v>790000</v>
      </c>
      <c r="AK35" s="14"/>
      <c r="AL35" s="14"/>
      <c r="AM35" s="12"/>
      <c r="AN35" s="16">
        <f>AM35+AJ35-AI35-AL35</f>
        <v>662000</v>
      </c>
    </row>
    <row r="36" spans="1:40" x14ac:dyDescent="0.3">
      <c r="A36" s="9">
        <v>33</v>
      </c>
      <c r="B36" s="19" t="s">
        <v>43</v>
      </c>
      <c r="C36" s="11"/>
      <c r="D36" s="11"/>
      <c r="E36" s="11"/>
      <c r="F36" s="11"/>
      <c r="G36" s="11"/>
      <c r="H36" s="11">
        <v>1</v>
      </c>
      <c r="I36" s="11">
        <v>1</v>
      </c>
      <c r="J36" s="11">
        <v>1</v>
      </c>
      <c r="K36" s="11"/>
      <c r="L36" s="11"/>
      <c r="M36" s="11">
        <v>1</v>
      </c>
      <c r="N36" s="11">
        <v>1</v>
      </c>
      <c r="O36" s="11">
        <v>1</v>
      </c>
      <c r="P36" s="11">
        <v>1</v>
      </c>
      <c r="Q36" s="11"/>
      <c r="R36" s="11">
        <v>1</v>
      </c>
      <c r="S36" s="11">
        <v>1</v>
      </c>
      <c r="T36" s="11">
        <v>1</v>
      </c>
      <c r="U36" s="11">
        <v>1</v>
      </c>
      <c r="V36" s="11">
        <v>1</v>
      </c>
      <c r="W36" s="11">
        <v>1</v>
      </c>
      <c r="X36" s="11"/>
      <c r="Y36" s="11">
        <v>1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1">
        <v>1</v>
      </c>
      <c r="AG36" s="9">
        <f t="shared" si="1"/>
        <v>21</v>
      </c>
      <c r="AH36" s="12">
        <v>32000</v>
      </c>
      <c r="AI36" s="13">
        <f t="shared" si="0"/>
        <v>672000</v>
      </c>
      <c r="AJ36" s="14"/>
      <c r="AK36" s="14"/>
      <c r="AL36" s="14">
        <v>500000</v>
      </c>
      <c r="AM36" s="12">
        <v>2000000</v>
      </c>
      <c r="AN36" s="16">
        <f>AM36+AJ36-AI36-AL36</f>
        <v>828000</v>
      </c>
    </row>
    <row r="37" spans="1:40" x14ac:dyDescent="0.3">
      <c r="A37" s="9">
        <v>34</v>
      </c>
      <c r="B37" s="19" t="s">
        <v>44</v>
      </c>
      <c r="C37" s="11"/>
      <c r="D37" s="11"/>
      <c r="E37" s="11"/>
      <c r="F37" s="11"/>
      <c r="G37" s="11"/>
      <c r="H37" s="11"/>
      <c r="I37" s="11"/>
      <c r="J37" s="11">
        <v>1</v>
      </c>
      <c r="K37" s="11">
        <v>1</v>
      </c>
      <c r="L37" s="11">
        <v>1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/>
      <c r="S37" s="11">
        <v>1</v>
      </c>
      <c r="T37" s="11">
        <v>1</v>
      </c>
      <c r="U37" s="11">
        <v>1</v>
      </c>
      <c r="V37" s="11">
        <v>1</v>
      </c>
      <c r="W37" s="11">
        <v>1</v>
      </c>
      <c r="X37" s="11">
        <v>2</v>
      </c>
      <c r="Y37" s="11">
        <v>2</v>
      </c>
      <c r="Z37" s="11"/>
      <c r="AA37" s="11">
        <v>2</v>
      </c>
      <c r="AB37" s="11">
        <v>2</v>
      </c>
      <c r="AC37" s="11">
        <v>2</v>
      </c>
      <c r="AD37" s="11">
        <v>2</v>
      </c>
      <c r="AE37" s="11">
        <v>2</v>
      </c>
      <c r="AF37" s="11"/>
      <c r="AG37" s="9">
        <f t="shared" si="1"/>
        <v>27</v>
      </c>
      <c r="AH37" s="12">
        <v>32000</v>
      </c>
      <c r="AI37" s="13">
        <f t="shared" si="0"/>
        <v>864000</v>
      </c>
      <c r="AJ37" s="21"/>
      <c r="AK37" s="21"/>
      <c r="AL37" s="14">
        <v>500000</v>
      </c>
      <c r="AM37" s="22">
        <v>3000000</v>
      </c>
      <c r="AN37" s="16">
        <f>AM37+AJ37-AI37-AL37</f>
        <v>1636000</v>
      </c>
    </row>
    <row r="38" spans="1:40" x14ac:dyDescent="0.3">
      <c r="A38" s="9">
        <v>35</v>
      </c>
      <c r="B38" s="19" t="s">
        <v>45</v>
      </c>
      <c r="C38" s="11"/>
      <c r="D38" s="11"/>
      <c r="E38" s="11"/>
      <c r="F38" s="11"/>
      <c r="G38" s="11"/>
      <c r="H38" s="11"/>
      <c r="I38" s="11"/>
      <c r="J38" s="11"/>
      <c r="K38" s="11">
        <v>2</v>
      </c>
      <c r="L38" s="11">
        <v>2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9">
        <f t="shared" si="1"/>
        <v>4</v>
      </c>
      <c r="AH38" s="12">
        <v>32000</v>
      </c>
      <c r="AI38" s="13">
        <f t="shared" si="0"/>
        <v>128000</v>
      </c>
      <c r="AJ38" s="14"/>
      <c r="AK38" s="14"/>
      <c r="AL38" s="14">
        <v>500000</v>
      </c>
      <c r="AM38" s="12"/>
      <c r="AN38" s="15">
        <f>AM38+AJ38-AI38-AL38</f>
        <v>-628000</v>
      </c>
    </row>
    <row r="39" spans="1:40" x14ac:dyDescent="0.3">
      <c r="A39" s="9">
        <v>36</v>
      </c>
      <c r="B39" s="19" t="s">
        <v>46</v>
      </c>
      <c r="C39" s="11"/>
      <c r="D39" s="11"/>
      <c r="E39" s="11"/>
      <c r="F39" s="11"/>
      <c r="G39" s="11"/>
      <c r="H39" s="11"/>
      <c r="I39" s="11"/>
      <c r="J39" s="11">
        <v>1</v>
      </c>
      <c r="K39" s="11">
        <v>1</v>
      </c>
      <c r="L39" s="11"/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1">
        <v>1</v>
      </c>
      <c r="T39" s="11">
        <v>1</v>
      </c>
      <c r="U39" s="11">
        <v>1</v>
      </c>
      <c r="V39" s="11">
        <v>1</v>
      </c>
      <c r="W39" s="11">
        <v>1</v>
      </c>
      <c r="X39" s="11">
        <v>1</v>
      </c>
      <c r="Y39" s="11">
        <v>1</v>
      </c>
      <c r="Z39" s="11"/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1"/>
      <c r="AG39" s="9">
        <f t="shared" si="1"/>
        <v>20</v>
      </c>
      <c r="AH39" s="12">
        <v>32000</v>
      </c>
      <c r="AI39" s="13">
        <f t="shared" si="0"/>
        <v>640000</v>
      </c>
      <c r="AJ39" s="14"/>
      <c r="AK39" s="14"/>
      <c r="AL39" s="14">
        <v>500000</v>
      </c>
      <c r="AM39" s="12">
        <v>2500000</v>
      </c>
      <c r="AN39" s="16">
        <f>AM39+AJ39-AI39-AL39</f>
        <v>1360000</v>
      </c>
    </row>
    <row r="40" spans="1:40" x14ac:dyDescent="0.3">
      <c r="A40" s="9">
        <v>37</v>
      </c>
      <c r="B40" s="19" t="s">
        <v>47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>
        <v>1</v>
      </c>
      <c r="N40" s="11">
        <v>1</v>
      </c>
      <c r="O40" s="11">
        <v>1</v>
      </c>
      <c r="P40" s="11">
        <v>1</v>
      </c>
      <c r="Q40" s="11"/>
      <c r="R40" s="11"/>
      <c r="S40" s="11">
        <v>1</v>
      </c>
      <c r="T40" s="11">
        <v>1</v>
      </c>
      <c r="U40" s="11">
        <v>1</v>
      </c>
      <c r="V40" s="11">
        <v>1</v>
      </c>
      <c r="W40" s="11">
        <v>1</v>
      </c>
      <c r="X40" s="11">
        <v>1</v>
      </c>
      <c r="Y40" s="11">
        <v>1</v>
      </c>
      <c r="Z40" s="11"/>
      <c r="AA40" s="11">
        <v>1</v>
      </c>
      <c r="AB40" s="11">
        <v>1</v>
      </c>
      <c r="AC40" s="11">
        <v>1</v>
      </c>
      <c r="AD40" s="11"/>
      <c r="AE40" s="11">
        <v>1</v>
      </c>
      <c r="AF40" s="11">
        <v>1</v>
      </c>
      <c r="AG40" s="9">
        <f t="shared" si="1"/>
        <v>16</v>
      </c>
      <c r="AH40" s="12">
        <v>32000</v>
      </c>
      <c r="AI40" s="13">
        <f t="shared" si="0"/>
        <v>512000</v>
      </c>
      <c r="AJ40" s="14"/>
      <c r="AK40" s="14"/>
      <c r="AL40" s="14">
        <v>500000</v>
      </c>
      <c r="AM40" s="12"/>
      <c r="AN40" s="15">
        <f>AM40+AJ40-AI40-AL40</f>
        <v>-1012000</v>
      </c>
    </row>
    <row r="41" spans="1:40" x14ac:dyDescent="0.3">
      <c r="A41" s="9">
        <v>38</v>
      </c>
      <c r="B41" s="19" t="s">
        <v>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>
        <v>1</v>
      </c>
      <c r="P41" s="11">
        <v>1</v>
      </c>
      <c r="Q41" s="11">
        <v>1</v>
      </c>
      <c r="R41" s="11">
        <v>1</v>
      </c>
      <c r="S41" s="11">
        <v>1</v>
      </c>
      <c r="T41" s="11">
        <v>1</v>
      </c>
      <c r="U41" s="11">
        <v>1</v>
      </c>
      <c r="V41" s="11">
        <v>1</v>
      </c>
      <c r="W41" s="11">
        <v>1</v>
      </c>
      <c r="X41" s="11"/>
      <c r="Y41" s="11">
        <v>1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/>
      <c r="AF41" s="11">
        <v>1</v>
      </c>
      <c r="AG41" s="9">
        <f t="shared" si="1"/>
        <v>16</v>
      </c>
      <c r="AH41" s="12">
        <v>32000</v>
      </c>
      <c r="AI41" s="13">
        <f t="shared" si="0"/>
        <v>512000</v>
      </c>
      <c r="AJ41" s="14"/>
      <c r="AK41" s="14"/>
      <c r="AL41" s="14">
        <v>500000</v>
      </c>
      <c r="AM41" s="12">
        <v>1500000</v>
      </c>
      <c r="AN41" s="16">
        <f>AM41+AJ41-AI41-AL41</f>
        <v>488000</v>
      </c>
    </row>
    <row r="42" spans="1:40" x14ac:dyDescent="0.3">
      <c r="A42" s="9">
        <v>39</v>
      </c>
      <c r="B42" s="19" t="s">
        <v>49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>
        <v>1</v>
      </c>
      <c r="N42" s="11">
        <v>1</v>
      </c>
      <c r="O42" s="11">
        <v>1</v>
      </c>
      <c r="P42" s="11">
        <v>1</v>
      </c>
      <c r="Q42" s="11"/>
      <c r="R42" s="11"/>
      <c r="S42" s="11">
        <v>1</v>
      </c>
      <c r="T42" s="11">
        <v>1</v>
      </c>
      <c r="U42" s="11">
        <v>1</v>
      </c>
      <c r="V42" s="11">
        <v>1</v>
      </c>
      <c r="W42" s="11">
        <v>1</v>
      </c>
      <c r="X42" s="11">
        <v>1</v>
      </c>
      <c r="Y42" s="11">
        <v>1</v>
      </c>
      <c r="Z42" s="11"/>
      <c r="AA42" s="11">
        <v>1</v>
      </c>
      <c r="AB42" s="11">
        <v>1</v>
      </c>
      <c r="AC42" s="11">
        <v>1</v>
      </c>
      <c r="AD42" s="11"/>
      <c r="AE42" s="11">
        <v>1</v>
      </c>
      <c r="AF42" s="11">
        <v>1</v>
      </c>
      <c r="AG42" s="9">
        <f t="shared" si="1"/>
        <v>16</v>
      </c>
      <c r="AH42" s="12">
        <v>32000</v>
      </c>
      <c r="AI42" s="13">
        <f t="shared" si="0"/>
        <v>512000</v>
      </c>
      <c r="AJ42" s="14"/>
      <c r="AK42" s="14"/>
      <c r="AL42" s="14">
        <v>500000</v>
      </c>
      <c r="AM42" s="12">
        <v>2000000</v>
      </c>
      <c r="AN42" s="16">
        <f>AM42+AJ42-AI42-AL42</f>
        <v>988000</v>
      </c>
    </row>
    <row r="43" spans="1:40" x14ac:dyDescent="0.3">
      <c r="A43" s="9">
        <v>40</v>
      </c>
      <c r="B43" s="19" t="s">
        <v>50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2</v>
      </c>
      <c r="T43" s="11">
        <v>2</v>
      </c>
      <c r="U43" s="11">
        <v>2</v>
      </c>
      <c r="V43" s="11">
        <v>2</v>
      </c>
      <c r="W43" s="11">
        <v>2</v>
      </c>
      <c r="X43" s="11">
        <v>2</v>
      </c>
      <c r="Y43" s="11">
        <v>2</v>
      </c>
      <c r="Z43" s="11">
        <v>2</v>
      </c>
      <c r="AA43" s="11">
        <v>2</v>
      </c>
      <c r="AB43" s="11">
        <v>2</v>
      </c>
      <c r="AC43" s="11">
        <v>2</v>
      </c>
      <c r="AD43" s="11">
        <v>2</v>
      </c>
      <c r="AE43" s="11">
        <v>2</v>
      </c>
      <c r="AF43" s="11">
        <v>2</v>
      </c>
      <c r="AG43" s="9">
        <f t="shared" si="1"/>
        <v>30</v>
      </c>
      <c r="AH43" s="12">
        <v>32000</v>
      </c>
      <c r="AI43" s="13">
        <f t="shared" si="0"/>
        <v>960000</v>
      </c>
      <c r="AJ43" s="21"/>
      <c r="AK43" s="21"/>
      <c r="AL43" s="14">
        <v>500000</v>
      </c>
      <c r="AM43" s="22">
        <v>2000000</v>
      </c>
      <c r="AN43" s="16">
        <f>AM43+AJ43-AI43-AL43</f>
        <v>540000</v>
      </c>
    </row>
    <row r="44" spans="1:40" x14ac:dyDescent="0.3">
      <c r="A44" s="9">
        <v>41</v>
      </c>
      <c r="B44" s="19" t="s">
        <v>51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>
        <v>2</v>
      </c>
      <c r="AB44" s="11">
        <v>2</v>
      </c>
      <c r="AC44" s="11">
        <v>2</v>
      </c>
      <c r="AD44" s="11">
        <v>2</v>
      </c>
      <c r="AE44" s="11">
        <v>2</v>
      </c>
      <c r="AF44" s="11">
        <v>2</v>
      </c>
      <c r="AG44" s="9">
        <f t="shared" si="1"/>
        <v>12</v>
      </c>
      <c r="AH44" s="12">
        <v>32000</v>
      </c>
      <c r="AI44" s="13">
        <f t="shared" si="0"/>
        <v>384000</v>
      </c>
      <c r="AJ44" s="14"/>
      <c r="AK44" s="14"/>
      <c r="AL44" s="14">
        <v>500000</v>
      </c>
      <c r="AM44" s="12">
        <v>3000000</v>
      </c>
      <c r="AN44" s="16">
        <f>AM44+AJ44-AI44-AL44</f>
        <v>2116000</v>
      </c>
    </row>
    <row r="45" spans="1:40" x14ac:dyDescent="0.3">
      <c r="A45" s="9">
        <v>42</v>
      </c>
      <c r="B45" s="19" t="s">
        <v>52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2</v>
      </c>
      <c r="AE45" s="11">
        <v>2</v>
      </c>
      <c r="AF45" s="11">
        <v>2</v>
      </c>
      <c r="AG45" s="9">
        <f t="shared" si="1"/>
        <v>6</v>
      </c>
      <c r="AH45" s="12">
        <v>32000</v>
      </c>
      <c r="AI45" s="13">
        <f t="shared" si="0"/>
        <v>192000</v>
      </c>
      <c r="AJ45" s="14"/>
      <c r="AK45" s="14"/>
      <c r="AL45" s="14">
        <v>500000</v>
      </c>
      <c r="AM45" s="12">
        <v>2500000</v>
      </c>
      <c r="AN45" s="16">
        <f>AM45+AJ45-AI45-AL45</f>
        <v>1808000</v>
      </c>
    </row>
    <row r="46" spans="1:40" x14ac:dyDescent="0.3">
      <c r="A46" s="9">
        <v>43</v>
      </c>
      <c r="B46" s="19" t="s">
        <v>53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>
        <v>1</v>
      </c>
      <c r="Y46" s="11">
        <v>1</v>
      </c>
      <c r="Z46" s="11">
        <v>1</v>
      </c>
      <c r="AA46" s="11"/>
      <c r="AB46" s="11">
        <v>1</v>
      </c>
      <c r="AC46" s="11">
        <v>1</v>
      </c>
      <c r="AD46" s="11">
        <v>1</v>
      </c>
      <c r="AE46" s="11">
        <v>1</v>
      </c>
      <c r="AF46" s="11">
        <v>1</v>
      </c>
      <c r="AG46" s="9">
        <f t="shared" si="1"/>
        <v>9</v>
      </c>
      <c r="AH46" s="12">
        <v>32000</v>
      </c>
      <c r="AI46" s="13">
        <f t="shared" si="0"/>
        <v>288000</v>
      </c>
      <c r="AJ46" s="14"/>
      <c r="AK46" s="14"/>
      <c r="AL46" s="14">
        <v>500000</v>
      </c>
      <c r="AM46" s="12">
        <v>1500000</v>
      </c>
      <c r="AN46" s="16">
        <f>AM46+AJ46-AI46-AL46</f>
        <v>712000</v>
      </c>
    </row>
    <row r="47" spans="1:40" x14ac:dyDescent="0.3">
      <c r="A47" s="9">
        <v>44</v>
      </c>
      <c r="B47" s="19" t="s">
        <v>54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1</v>
      </c>
      <c r="X47" s="11">
        <v>1</v>
      </c>
      <c r="Y47" s="11">
        <v>1</v>
      </c>
      <c r="Z47" s="11">
        <v>1</v>
      </c>
      <c r="AA47" s="11"/>
      <c r="AB47" s="11">
        <v>1</v>
      </c>
      <c r="AC47" s="11">
        <v>1</v>
      </c>
      <c r="AD47" s="11">
        <v>1</v>
      </c>
      <c r="AE47" s="11">
        <v>1</v>
      </c>
      <c r="AF47" s="11">
        <v>1</v>
      </c>
      <c r="AG47" s="9">
        <f t="shared" si="1"/>
        <v>9</v>
      </c>
      <c r="AH47" s="12">
        <v>32000</v>
      </c>
      <c r="AI47" s="13">
        <f t="shared" si="0"/>
        <v>288000</v>
      </c>
      <c r="AJ47" s="14"/>
      <c r="AK47" s="14"/>
      <c r="AL47" s="14">
        <v>500000</v>
      </c>
      <c r="AM47" s="12">
        <v>2000000</v>
      </c>
      <c r="AN47" s="16">
        <f>AM47+AJ47-AI47-AL47</f>
        <v>1212000</v>
      </c>
    </row>
    <row r="48" spans="1:40" x14ac:dyDescent="0.3">
      <c r="A48" s="9">
        <v>45</v>
      </c>
      <c r="B48" s="19" t="s">
        <v>55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1">
        <v>1</v>
      </c>
      <c r="AG48" s="9">
        <f t="shared" si="1"/>
        <v>8</v>
      </c>
      <c r="AH48" s="12">
        <v>32000</v>
      </c>
      <c r="AI48" s="13">
        <f t="shared" si="0"/>
        <v>256000</v>
      </c>
      <c r="AJ48" s="14"/>
      <c r="AK48" s="14"/>
      <c r="AL48" s="14">
        <v>500000</v>
      </c>
      <c r="AM48" s="12">
        <v>1000000</v>
      </c>
      <c r="AN48" s="16">
        <f>AM48+AJ48-AI48-AL48</f>
        <v>244000</v>
      </c>
    </row>
    <row r="49" spans="1:40" x14ac:dyDescent="0.3">
      <c r="A49" s="9">
        <v>46</v>
      </c>
      <c r="B49" s="19" t="s">
        <v>56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1</v>
      </c>
      <c r="Y49" s="11">
        <v>1</v>
      </c>
      <c r="Z49" s="11"/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1">
        <v>1</v>
      </c>
      <c r="AG49" s="9">
        <f t="shared" si="1"/>
        <v>8</v>
      </c>
      <c r="AH49" s="12">
        <v>32000</v>
      </c>
      <c r="AI49" s="13">
        <f t="shared" si="0"/>
        <v>256000</v>
      </c>
      <c r="AJ49" s="14"/>
      <c r="AK49" s="14"/>
      <c r="AL49" s="14">
        <v>500000</v>
      </c>
      <c r="AM49" s="12">
        <v>1500000</v>
      </c>
      <c r="AN49" s="16">
        <f>AM49+AJ49-AI49-AL49</f>
        <v>744000</v>
      </c>
    </row>
    <row r="50" spans="1:40" x14ac:dyDescent="0.3">
      <c r="A50" s="9">
        <v>47</v>
      </c>
      <c r="B50" s="19" t="s">
        <v>57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1</v>
      </c>
      <c r="Z50" s="11">
        <v>1</v>
      </c>
      <c r="AA50" s="11">
        <v>1</v>
      </c>
      <c r="AB50" s="11"/>
      <c r="AC50" s="11"/>
      <c r="AD50" s="11">
        <v>1</v>
      </c>
      <c r="AE50" s="11">
        <v>1</v>
      </c>
      <c r="AF50" s="11">
        <v>1</v>
      </c>
      <c r="AG50" s="9">
        <f t="shared" si="1"/>
        <v>6</v>
      </c>
      <c r="AH50" s="12">
        <v>32000</v>
      </c>
      <c r="AI50" s="13">
        <f t="shared" si="0"/>
        <v>192000</v>
      </c>
      <c r="AJ50" s="14"/>
      <c r="AK50" s="14"/>
      <c r="AL50" s="14">
        <v>500000</v>
      </c>
      <c r="AM50" s="12">
        <v>1500000</v>
      </c>
      <c r="AN50" s="16">
        <f>AM50+AJ50-AI50-AL50</f>
        <v>808000</v>
      </c>
    </row>
    <row r="51" spans="1:40" x14ac:dyDescent="0.3">
      <c r="A51" s="9">
        <v>48</v>
      </c>
      <c r="B51" s="19" t="s">
        <v>58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1">
        <v>1</v>
      </c>
      <c r="AG51" s="9">
        <f t="shared" si="1"/>
        <v>8</v>
      </c>
      <c r="AH51" s="12">
        <v>32000</v>
      </c>
      <c r="AI51" s="13">
        <f t="shared" si="0"/>
        <v>256000</v>
      </c>
      <c r="AJ51" s="14"/>
      <c r="AK51" s="14"/>
      <c r="AL51" s="14">
        <v>500000</v>
      </c>
      <c r="AM51" s="12">
        <v>1500000</v>
      </c>
      <c r="AN51" s="16">
        <f>AM51+AJ51-AI51-AL51</f>
        <v>744000</v>
      </c>
    </row>
    <row r="52" spans="1:40" x14ac:dyDescent="0.3">
      <c r="A52" s="9">
        <v>49</v>
      </c>
      <c r="B52" s="19" t="s">
        <v>59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1</v>
      </c>
      <c r="AC52" s="11">
        <v>1</v>
      </c>
      <c r="AD52" s="11">
        <v>1</v>
      </c>
      <c r="AE52" s="11">
        <v>1</v>
      </c>
      <c r="AF52" s="11"/>
      <c r="AG52" s="9">
        <f t="shared" si="1"/>
        <v>4</v>
      </c>
      <c r="AH52" s="12">
        <v>32000</v>
      </c>
      <c r="AI52" s="13">
        <f t="shared" si="0"/>
        <v>128000</v>
      </c>
      <c r="AJ52" s="14"/>
      <c r="AK52" s="14"/>
      <c r="AL52" s="14">
        <v>500000</v>
      </c>
      <c r="AM52" s="12"/>
      <c r="AN52" s="15">
        <f>AM52+AJ52-AI52-AL52</f>
        <v>-628000</v>
      </c>
    </row>
    <row r="53" spans="1:40" x14ac:dyDescent="0.3">
      <c r="A53" s="24" t="s">
        <v>4</v>
      </c>
      <c r="B53" s="25"/>
      <c r="C53" s="6">
        <f t="shared" ref="C53:AF53" si="2">SUM(C4:C35)</f>
        <v>28</v>
      </c>
      <c r="D53" s="6">
        <f t="shared" si="2"/>
        <v>34</v>
      </c>
      <c r="E53" s="6">
        <f t="shared" si="2"/>
        <v>30</v>
      </c>
      <c r="F53" s="6">
        <f t="shared" si="2"/>
        <v>29</v>
      </c>
      <c r="G53" s="6">
        <f t="shared" si="2"/>
        <v>23</v>
      </c>
      <c r="H53" s="6">
        <f t="shared" si="2"/>
        <v>28</v>
      </c>
      <c r="I53" s="6">
        <f t="shared" si="2"/>
        <v>30</v>
      </c>
      <c r="J53" s="6">
        <f t="shared" si="2"/>
        <v>23</v>
      </c>
      <c r="K53" s="6">
        <f t="shared" si="2"/>
        <v>28</v>
      </c>
      <c r="L53" s="6">
        <f t="shared" si="2"/>
        <v>25</v>
      </c>
      <c r="M53" s="6">
        <f t="shared" si="2"/>
        <v>17</v>
      </c>
      <c r="N53" s="6">
        <f t="shared" si="2"/>
        <v>27</v>
      </c>
      <c r="O53" s="6">
        <f t="shared" si="2"/>
        <v>27</v>
      </c>
      <c r="P53" s="6">
        <f t="shared" si="2"/>
        <v>34</v>
      </c>
      <c r="Q53" s="6">
        <f t="shared" si="2"/>
        <v>27</v>
      </c>
      <c r="R53" s="6">
        <f t="shared" si="2"/>
        <v>30</v>
      </c>
      <c r="S53" s="6">
        <f t="shared" si="2"/>
        <v>31</v>
      </c>
      <c r="T53" s="6">
        <f t="shared" si="2"/>
        <v>27</v>
      </c>
      <c r="U53" s="6">
        <f t="shared" si="2"/>
        <v>32</v>
      </c>
      <c r="V53" s="6">
        <f t="shared" si="2"/>
        <v>31</v>
      </c>
      <c r="W53" s="6">
        <f t="shared" si="2"/>
        <v>38</v>
      </c>
      <c r="X53" s="6">
        <f t="shared" si="2"/>
        <v>38</v>
      </c>
      <c r="Y53" s="6">
        <f t="shared" si="2"/>
        <v>38</v>
      </c>
      <c r="Z53" s="6">
        <f t="shared" si="2"/>
        <v>36</v>
      </c>
      <c r="AA53" s="6">
        <f t="shared" si="2"/>
        <v>38</v>
      </c>
      <c r="AB53" s="6">
        <f t="shared" si="2"/>
        <v>25</v>
      </c>
      <c r="AC53" s="6">
        <f t="shared" si="2"/>
        <v>26</v>
      </c>
      <c r="AD53" s="6">
        <f t="shared" si="2"/>
        <v>37</v>
      </c>
      <c r="AE53" s="6">
        <f t="shared" si="2"/>
        <v>37</v>
      </c>
      <c r="AF53" s="6">
        <f t="shared" si="2"/>
        <v>39</v>
      </c>
      <c r="AG53" s="26">
        <f>SUM(AG4:AG52)</f>
        <v>1133</v>
      </c>
      <c r="AH53" s="27">
        <f t="shared" ref="AH53" si="3">SUM(D53:AG53)</f>
        <v>2018</v>
      </c>
      <c r="AI53" s="28">
        <f>SUM(AI4:AI52)</f>
        <v>36256000</v>
      </c>
      <c r="AJ53" s="28">
        <f>SUM(AJ4:AJ52)</f>
        <v>35543628</v>
      </c>
      <c r="AK53" s="28"/>
      <c r="AL53" s="28">
        <f>SUM(AL4:AL52)</f>
        <v>9000000</v>
      </c>
      <c r="AM53" s="28">
        <f>SUM(AM4:AM52)</f>
        <v>31620000</v>
      </c>
      <c r="AN53" s="28">
        <f t="shared" ref="AN53" si="4">SUM(AN4:AN52)</f>
        <v>21907628</v>
      </c>
    </row>
  </sheetData>
  <mergeCells count="13">
    <mergeCell ref="AN2:AN3"/>
    <mergeCell ref="A53:B53"/>
    <mergeCell ref="AK2:AK3"/>
    <mergeCell ref="A1:AN1"/>
    <mergeCell ref="A2:A3"/>
    <mergeCell ref="B2:B3"/>
    <mergeCell ref="C2:AF2"/>
    <mergeCell ref="AG2:AG3"/>
    <mergeCell ref="AH2:AH3"/>
    <mergeCell ref="AI2:AI3"/>
    <mergeCell ref="AJ2:AJ3"/>
    <mergeCell ref="AL2:AL3"/>
    <mergeCell ref="AM2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Điểm Phạm Ngọc</dc:creator>
  <cp:lastModifiedBy>Điểm Phạm Ngọc</cp:lastModifiedBy>
  <dcterms:created xsi:type="dcterms:W3CDTF">2026-08-17T00:39:43Z</dcterms:created>
  <dcterms:modified xsi:type="dcterms:W3CDTF">2026-08-17T01:01:28Z</dcterms:modified>
</cp:coreProperties>
</file>